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500" firstSheet="0" activeTab="0" autoFilterDateGrouping="1"/>
  </bookViews>
  <sheets>
    <sheet xmlns:r="http://schemas.openxmlformats.org/officeDocument/2006/relationships" name="Alto Presupuesto" sheetId="1" state="visible" r:id="rId1"/>
    <sheet xmlns:r="http://schemas.openxmlformats.org/officeDocument/2006/relationships" name="Medio Presupuesto" sheetId="2" state="visible" r:id="rId2"/>
    <sheet xmlns:r="http://schemas.openxmlformats.org/officeDocument/2006/relationships" name="Bajo Presupuesto" sheetId="3" state="visible" r:id="rId3"/>
    <sheet xmlns:r="http://schemas.openxmlformats.org/officeDocument/2006/relationships" name="Flujo de Caja y Viabilidad" sheetId="4" state="visible" r:id="rId4"/>
  </sheets>
  <definedNames>
    <definedName name="_xlnm.Print_Area" localSheetId="0">'Alto Presupuesto'!$B$1:$H$108</definedName>
    <definedName name="_xlnm.Print_Area" localSheetId="1">'Medio Presupuesto'!$B$1:$H$107</definedName>
    <definedName name="_xlnm.Print_Area" localSheetId="2">'Bajo Presupuesto'!$B$1:$H$106</definedName>
    <definedName name="_xlnm.Print_Area" localSheetId="3">'Flujo de Caja y Viabilidad'!$B$1:$H$88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#,##0;\(#,##0\);\-"/>
    <numFmt numFmtId="166" formatCode="\$#,##0;&quot;($&quot;#,##0\);\-"/>
    <numFmt numFmtId="167" formatCode="&quot;USD &quot;#,##0.00;&quot;(USD &quot;#,##0.00\);\-"/>
    <numFmt numFmtId="168" formatCode="&quot;USD &quot;#,##0"/>
    <numFmt numFmtId="169" formatCode="0.0%"/>
  </numFmts>
  <fonts count="7">
    <font>
      <name val="Calibri"/>
      <charset val="1"/>
      <color theme="1"/>
      <sz val="11"/>
    </font>
    <font>
      <name val="Calibri"/>
      <charset val="1"/>
      <b val="1"/>
      <sz val="14"/>
    </font>
    <font>
      <name val="Calibri"/>
      <charset val="1"/>
      <b val="1"/>
      <sz val="11"/>
    </font>
    <font>
      <name val="Calibri"/>
      <charset val="1"/>
      <sz val="11"/>
    </font>
    <font>
      <name val="Calibri"/>
      <charset val="1"/>
      <i val="1"/>
      <sz val="11"/>
    </font>
    <font>
      <name val="Calibri"/>
      <charset val="1"/>
      <color rgb="FF0000FF"/>
      <sz val="11"/>
    </font>
    <font>
      <name val="Calibri"/>
      <charset val="1"/>
      <i val="1"/>
      <sz val="10"/>
    </font>
  </fonts>
  <fills count="6">
    <fill>
      <patternFill/>
    </fill>
    <fill>
      <patternFill patternType="gray125"/>
    </fill>
    <fill>
      <patternFill patternType="solid">
        <fgColor rgb="FFFBE4D5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CFFCC"/>
      </patternFill>
    </fill>
    <fill>
      <patternFill patternType="solid">
        <fgColor rgb="FFFFE598"/>
        <bgColor rgb="FFFFFF9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2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 wrapText="1"/>
    </xf>
    <xf numFmtId="1" fontId="5" fillId="3" borderId="1" applyAlignment="1" pivotButton="0" quotePrefix="0" xfId="0">
      <alignment horizontal="right" vertical="center" wrapText="1"/>
    </xf>
    <xf numFmtId="9" fontId="5" fillId="3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65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vertical="center" wrapText="1" indent="1"/>
    </xf>
    <xf numFmtId="165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right" vertical="center" wrapText="1"/>
    </xf>
    <xf numFmtId="167" fontId="5" fillId="0" borderId="1" applyAlignment="1" pivotButton="0" quotePrefix="0" xfId="0">
      <alignment horizontal="right" vertical="center" wrapText="1"/>
    </xf>
    <xf numFmtId="1" fontId="3" fillId="0" borderId="1" applyAlignment="1" pivotButton="0" quotePrefix="0" xfId="0">
      <alignment horizontal="right" vertical="center" wrapText="1"/>
    </xf>
    <xf numFmtId="166" fontId="2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vertical="center" wrapText="1"/>
    </xf>
    <xf numFmtId="168" fontId="3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vertical="center" wrapText="1" indent="1"/>
    </xf>
    <xf numFmtId="0" fontId="2" fillId="0" borderId="1" applyAlignment="1" pivotButton="0" quotePrefix="0" xfId="0">
      <alignment vertical="center" wrapText="1" indent="1"/>
    </xf>
    <xf numFmtId="0" fontId="2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center" wrapText="1" indent="1"/>
    </xf>
    <xf numFmtId="0" fontId="2" fillId="4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 wrapText="1"/>
    </xf>
    <xf numFmtId="167" fontId="5" fillId="3" borderId="1" applyAlignment="1" pivotButton="0" quotePrefix="0" xfId="0">
      <alignment horizontal="right" vertical="center" wrapText="1"/>
    </xf>
    <xf numFmtId="165" fontId="5" fillId="3" borderId="1" applyAlignment="1" pivotButton="0" quotePrefix="0" xfId="0">
      <alignment horizontal="right" vertical="center" wrapText="1"/>
    </xf>
    <xf numFmtId="169" fontId="2" fillId="4" borderId="1" applyAlignment="1" pivotButton="0" quotePrefix="0" xfId="0">
      <alignment horizontal="right" vertical="center" wrapText="1"/>
    </xf>
    <xf numFmtId="169" fontId="3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BE4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108"/>
  <sheetViews>
    <sheetView showGridLines="0" tabSelected="1" zoomScale="40" zoomScaleNormal="40" workbookViewId="0">
      <selection activeCell="I15" sqref="I15"/>
    </sheetView>
  </sheetViews>
  <sheetFormatPr baseColWidth="10" defaultColWidth="8.7109375" defaultRowHeight="15"/>
  <cols>
    <col width="3" customWidth="1" min="1" max="1"/>
    <col width="46" customWidth="1" min="2" max="2"/>
    <col width="22" customWidth="1" min="3" max="3"/>
    <col width="12" customWidth="1" min="4" max="4"/>
    <col width="16" customWidth="1" min="5" max="5"/>
    <col width="18" customWidth="1" min="6" max="6"/>
    <col width="52" customWidth="1" min="7" max="7"/>
    <col width="22" customWidth="1" min="8" max="8"/>
  </cols>
  <sheetData>
    <row r="1" ht="18.75" customHeight="1">
      <c r="B1" s="31" t="inlineStr">
        <is>
          <t>PRESUPUESTO ESTIMADO – ESCENARIO ALTO – PLAN DE COSTOS</t>
        </is>
      </c>
    </row>
    <row r="2">
      <c r="B2" s="32" t="inlineStr">
        <is>
          <t>CuTuCo (Cultiva Tu Compra) – Marketplace SaaS B2B2C | Duoc UC Plaza Norte – Ingeniería en Informática</t>
        </is>
      </c>
    </row>
    <row r="3">
      <c r="B3" s="33" t="inlineStr">
        <is>
          <t>Duración: 13 semanas (11/09/2026 – 10/12/2026) | Equipo: Vicente Rivera e Ignacio Fuenzalida | Moneda: pesos chilenos (CLP)</t>
        </is>
      </c>
    </row>
    <row r="4" ht="30" customHeight="1">
      <c r="B4" s="34" t="inlineStr">
        <is>
          <t>Opción B: infraestructura productiva con redundancia, cumplimiento y revisión de seguridad externa. Mayor dedicación del equipo.</t>
        </is>
      </c>
    </row>
    <row r="5" ht="15" customHeight="1">
      <c r="B5" s="26" t="inlineStr">
        <is>
          <t>SUPUESTOS (celdas azules con fondo amarillo = editables)</t>
        </is>
      </c>
      <c r="C5" s="35" t="n"/>
      <c r="D5" s="35" t="n"/>
      <c r="E5" s="35" t="n"/>
      <c r="F5" s="35" t="n"/>
      <c r="G5" s="35" t="n"/>
      <c r="H5" s="36" t="n"/>
    </row>
    <row r="6" ht="19.5" customHeight="1">
      <c r="B6" s="24" t="inlineStr">
        <is>
          <t>Tipo de cambio (CLP por USD)</t>
        </is>
      </c>
      <c r="C6" s="4" t="n">
        <v>950</v>
      </c>
      <c r="D6" s="30" t="inlineStr">
        <is>
          <t>Supuesto del equipo; ajustar al valor del día de pago.</t>
        </is>
      </c>
      <c r="E6" s="35" t="n"/>
      <c r="F6" s="35" t="n"/>
      <c r="G6" s="36" t="n"/>
    </row>
    <row r="7" ht="19.5" customHeight="1">
      <c r="B7" s="24" t="inlineStr">
        <is>
          <t>Duración del proyecto (meses)</t>
        </is>
      </c>
      <c r="C7" s="5" t="n">
        <v>3</v>
      </c>
      <c r="D7" s="30" t="inlineStr">
        <is>
          <t>13 semanas ≈ 3 meses.</t>
        </is>
      </c>
      <c r="E7" s="35" t="n"/>
      <c r="F7" s="35" t="n"/>
      <c r="G7" s="36" t="n"/>
    </row>
    <row r="8" ht="19.5" customHeight="1">
      <c r="B8" s="24" t="inlineStr">
        <is>
          <t>Semanas de trabajo</t>
        </is>
      </c>
      <c r="C8" s="5" t="n">
        <v>13</v>
      </c>
      <c r="D8" s="30" t="inlineStr">
        <is>
          <t>Acta de Constitución: semanas 1 a 13.</t>
        </is>
      </c>
      <c r="E8" s="35" t="n"/>
      <c r="F8" s="35" t="n"/>
      <c r="G8" s="36" t="n"/>
    </row>
    <row r="9" ht="19.5" customHeight="1">
      <c r="B9" s="24" t="inlineStr">
        <is>
          <t>Horas por semana por integrante</t>
        </is>
      </c>
      <c r="C9" s="5" t="n">
        <v>28</v>
      </c>
      <c r="D9" s="30" t="inlineStr">
        <is>
          <t>Dedicación estimada compatible con la carga académica.</t>
        </is>
      </c>
      <c r="E9" s="35" t="n"/>
      <c r="F9" s="35" t="n"/>
      <c r="G9" s="36" t="n"/>
    </row>
    <row r="10" ht="19.5" customHeight="1">
      <c r="B10" s="24" t="inlineStr">
        <is>
          <t>Contingencia sobre el subtotal</t>
        </is>
      </c>
      <c r="C10" s="6" t="n">
        <v>0.2</v>
      </c>
      <c r="D10" s="30" t="inlineStr">
        <is>
          <t>Reserva alta por integraciones reales (Webpay) y revisión externa.</t>
        </is>
      </c>
      <c r="E10" s="35" t="n"/>
      <c r="F10" s="35" t="n"/>
      <c r="G10" s="36" t="n"/>
    </row>
    <row r="11" ht="19.5" customHeight="1">
      <c r="B11" s="24" t="inlineStr">
        <is>
          <t>Valor de un notebook propio (CLP)</t>
        </is>
      </c>
      <c r="C11" s="4" t="n">
        <v>1000000</v>
      </c>
      <c r="D11" s="30" t="inlineStr">
        <is>
          <t>Estimación de mercado Chile.</t>
        </is>
      </c>
      <c r="E11" s="35" t="n"/>
      <c r="F11" s="35" t="n"/>
      <c r="G11" s="36" t="n"/>
    </row>
    <row r="12" ht="19.5" customHeight="1">
      <c r="B12" s="24" t="inlineStr">
        <is>
          <t>Vida útil del notebook (meses)</t>
        </is>
      </c>
      <c r="C12" s="5" t="n">
        <v>36</v>
      </c>
      <c r="D12" s="30" t="inlineStr">
        <is>
          <t>Depreciación lineal.</t>
        </is>
      </c>
      <c r="E12" s="35" t="n"/>
      <c r="F12" s="35" t="n"/>
      <c r="G12" s="36" t="n"/>
    </row>
    <row r="13">
      <c r="B13" s="37" t="inlineStr">
        <is>
          <t>Estado de cada monto: la leyenda completa está en la sección 10, al final de la hoja.</t>
        </is>
      </c>
      <c r="C13" s="7" t="n"/>
      <c r="D13" s="7" t="n"/>
      <c r="E13" s="7" t="n"/>
      <c r="F13" s="7" t="n"/>
      <c r="G13" s="7" t="n"/>
    </row>
    <row r="14" ht="15" customHeight="1">
      <c r="B14" s="26" t="inlineStr">
        <is>
          <t>1. RECURSO HUMANO (valorizado a precio de mercado; no es desembolso)</t>
        </is>
      </c>
      <c r="C14" s="35" t="n"/>
      <c r="D14" s="35" t="n"/>
      <c r="E14" s="35" t="n"/>
      <c r="F14" s="35" t="n"/>
      <c r="G14" s="35" t="n"/>
      <c r="H14" s="36" t="n"/>
    </row>
    <row r="15" ht="30" customHeight="1">
      <c r="B15" s="26" t="inlineStr">
        <is>
          <t>Rol</t>
        </is>
      </c>
      <c r="C15" s="26" t="inlineStr">
        <is>
          <t>Responsable</t>
        </is>
      </c>
      <c r="D15" s="26" t="inlineStr">
        <is>
          <t>Horas</t>
        </is>
      </c>
      <c r="E15" s="26" t="inlineStr">
        <is>
          <t>Valor hora (CLP)</t>
        </is>
      </c>
      <c r="F15" s="26" t="inlineStr">
        <is>
          <t>Costo (CLP)</t>
        </is>
      </c>
      <c r="G15" s="26" t="inlineStr">
        <is>
          <t>Observación</t>
        </is>
      </c>
      <c r="H15" s="26" t="inlineStr">
        <is>
          <t>Estado</t>
        </is>
      </c>
    </row>
    <row r="16" ht="30" customHeight="1">
      <c r="B16" s="24" t="inlineStr">
        <is>
          <t>Jefe de Proyecto (JP)</t>
        </is>
      </c>
      <c r="C16" s="24" t="inlineStr">
        <is>
          <t>Vicente Rivera</t>
        </is>
      </c>
      <c r="D16" s="8" t="n">
        <v>65</v>
      </c>
      <c r="E16" s="9" t="n">
        <v>13388</v>
      </c>
      <c r="F16" s="10">
        <f>D16*E16</f>
        <v/>
      </c>
      <c r="G16" s="24" t="inlineStr">
        <is>
          <t>Costo empresa $2.142.000 / 160 h. Gestión, control y coordinación.</t>
        </is>
      </c>
      <c r="H16" s="24" t="inlineStr">
        <is>
          <t>Valorizado</t>
        </is>
      </c>
    </row>
    <row r="17" ht="30" customHeight="1">
      <c r="B17" s="24" t="inlineStr">
        <is>
          <t>Arquitecto de Software (ASW)</t>
        </is>
      </c>
      <c r="C17" s="24" t="inlineStr">
        <is>
          <t>Vicente Rivera</t>
        </is>
      </c>
      <c r="D17" s="8" t="n">
        <v>65</v>
      </c>
      <c r="E17" s="9" t="n">
        <v>11156</v>
      </c>
      <c r="F17" s="10">
        <f>D17*E17</f>
        <v/>
      </c>
      <c r="G17" s="24" t="inlineStr">
        <is>
          <t>Costo empresa $1.785.000 / 160 h. Arquitectura y despliegue.</t>
        </is>
      </c>
      <c r="H17" s="24" t="inlineStr">
        <is>
          <t>Valorizado</t>
        </is>
      </c>
    </row>
    <row r="18" ht="30" customHeight="1">
      <c r="B18" s="24" t="inlineStr">
        <is>
          <t>Administrador de BBDD (DBA)</t>
        </is>
      </c>
      <c r="C18" s="24" t="inlineStr">
        <is>
          <t>Vicente Rivera</t>
        </is>
      </c>
      <c r="D18" s="8" t="n">
        <v>60</v>
      </c>
      <c r="E18" s="9" t="n">
        <v>10041</v>
      </c>
      <c r="F18" s="10">
        <f>D18*E18</f>
        <v/>
      </c>
      <c r="G18" s="24" t="inlineStr">
        <is>
          <t>Costo empresa $1.606.500 / 160 h. PostgreSQL, RLS y scripts.</t>
        </is>
      </c>
      <c r="H18" s="24" t="inlineStr">
        <is>
          <t>Valorizado</t>
        </is>
      </c>
    </row>
    <row r="19" ht="30" customHeight="1">
      <c r="B19" s="24" t="inlineStr">
        <is>
          <t>Programador Full Stack 1 – Backend (PFS 1)</t>
        </is>
      </c>
      <c r="C19" s="24" t="inlineStr">
        <is>
          <t>Vicente Rivera</t>
        </is>
      </c>
      <c r="D19" s="8" t="n">
        <v>160</v>
      </c>
      <c r="E19" s="9" t="n">
        <v>7438</v>
      </c>
      <c r="F19" s="10">
        <f>D19*E19</f>
        <v/>
      </c>
      <c r="G19" s="24" t="inlineStr">
        <is>
          <t>Costo empresa $1.190.000 / 160 h. FastAPI, pagos y correos.</t>
        </is>
      </c>
      <c r="H19" s="24" t="inlineStr">
        <is>
          <t>Valorizado</t>
        </is>
      </c>
    </row>
    <row r="20" ht="30" customHeight="1">
      <c r="B20" s="24" t="inlineStr">
        <is>
          <t>Analista de Procesos (AP)</t>
        </is>
      </c>
      <c r="C20" s="24" t="inlineStr">
        <is>
          <t>Ignacio Fuenzalida</t>
        </is>
      </c>
      <c r="D20" s="8" t="n">
        <v>90</v>
      </c>
      <c r="E20" s="9" t="n">
        <v>5950</v>
      </c>
      <c r="F20" s="10">
        <f>D20*E20</f>
        <v/>
      </c>
      <c r="G20" s="24" t="inlineStr">
        <is>
          <t>Costo empresa $952.000 / 160 h. ERS, mockups y pruebas.</t>
        </is>
      </c>
      <c r="H20" s="24" t="inlineStr">
        <is>
          <t>Valorizado</t>
        </is>
      </c>
    </row>
    <row r="21" ht="30" customHeight="1">
      <c r="B21" s="24" t="inlineStr">
        <is>
          <t>Programador Full Stack 2 – Frontend (PFS 2)</t>
        </is>
      </c>
      <c r="C21" s="24" t="inlineStr">
        <is>
          <t>Ignacio Fuenzalida</t>
        </is>
      </c>
      <c r="D21" s="8" t="n">
        <v>260</v>
      </c>
      <c r="E21" s="9" t="n">
        <v>9669</v>
      </c>
      <c r="F21" s="10">
        <f>D21*E21</f>
        <v/>
      </c>
      <c r="G21" s="24" t="inlineStr">
        <is>
          <t>Costo empresa $1.547.000 / 160 h. Vue.js + Vite.</t>
        </is>
      </c>
      <c r="H21" s="24" t="inlineStr">
        <is>
          <t>Valorizado</t>
        </is>
      </c>
    </row>
    <row r="22" ht="30" customHeight="1">
      <c r="B22" s="29" t="inlineStr">
        <is>
          <t>Subtotal recurso humano</t>
        </is>
      </c>
      <c r="C22" s="36" t="n"/>
      <c r="D22" s="11">
        <f>SUM(D16:D21)</f>
        <v/>
      </c>
      <c r="E22" s="12" t="n"/>
      <c r="F22" s="13">
        <f>SUM(F16:F21)</f>
        <v/>
      </c>
      <c r="G22" s="14" t="inlineStr">
        <is>
          <t>Valor hora tomado de la tabla de roles del Acta (talent.com).</t>
        </is>
      </c>
    </row>
    <row r="23" ht="30" customHeight="1">
      <c r="B23" s="30" t="inlineStr">
        <is>
          <t>Control de horas: Vicente Rivera</t>
        </is>
      </c>
      <c r="C23" s="30" t="inlineStr">
        <is>
          <t>Asignadas / disponibles</t>
        </is>
      </c>
      <c r="D23" s="15">
        <f>SUMIF($C$16:$C$21,"Vicente Rivera",$D$16:$D$21)</f>
        <v/>
      </c>
      <c r="E23" s="15">
        <f>$C$8*$C$9</f>
        <v/>
      </c>
      <c r="F23" s="16">
        <f>IF(D23&lt;=E23,"OK","Excede")</f>
        <v/>
      </c>
      <c r="G23" s="30" t="inlineStr">
        <is>
          <t>Las horas asignadas no deben superar las disponibles.</t>
        </is>
      </c>
    </row>
    <row r="24" ht="30" customHeight="1">
      <c r="B24" s="30" t="inlineStr">
        <is>
          <t>Control de horas: Ignacio Fuenzalida</t>
        </is>
      </c>
      <c r="C24" s="30" t="inlineStr">
        <is>
          <t>Asignadas / disponibles</t>
        </is>
      </c>
      <c r="D24" s="15">
        <f>SUMIF($C$16:$C$21,"Ignacio Fuenzalida",$D$16:$D$21)</f>
        <v/>
      </c>
      <c r="E24" s="15">
        <f>$C$8*$C$9</f>
        <v/>
      </c>
      <c r="F24" s="16">
        <f>IF(D24&lt;=E24,"OK","Excede")</f>
        <v/>
      </c>
      <c r="G24" s="30" t="inlineStr">
        <is>
          <t>Las horas asignadas no deben superar las disponibles.</t>
        </is>
      </c>
    </row>
    <row r="25" ht="30" customHeight="1">
      <c r="B25" s="7" t="n"/>
      <c r="C25" s="7" t="n"/>
      <c r="D25" s="7" t="n"/>
      <c r="E25" s="7" t="n"/>
      <c r="F25" s="7" t="n"/>
      <c r="G25" s="7" t="n"/>
    </row>
    <row r="26" ht="30" customHeight="1">
      <c r="B26" s="26" t="inlineStr">
        <is>
          <t>2. INFRAESTRUCTURA Y SERVICIOS – OPCIÓN B (PRODUCCIÓN CON REDUNDANCIA)</t>
        </is>
      </c>
      <c r="C26" s="35" t="n"/>
      <c r="D26" s="35" t="n"/>
      <c r="E26" s="35" t="n"/>
      <c r="F26" s="35" t="n"/>
      <c r="G26" s="35" t="n"/>
      <c r="H26" s="36" t="n"/>
    </row>
    <row r="27" ht="30" customHeight="1">
      <c r="B27" s="26" t="inlineStr">
        <is>
          <t>Servicio</t>
        </is>
      </c>
      <c r="C27" s="26" t="inlineStr">
        <is>
          <t>Uso en CuTuCo</t>
        </is>
      </c>
      <c r="D27" s="26" t="inlineStr">
        <is>
          <t>Cantidad</t>
        </is>
      </c>
      <c r="E27" s="26" t="inlineStr">
        <is>
          <t>Valor unit. (USD)</t>
        </is>
      </c>
      <c r="F27" s="26" t="inlineStr">
        <is>
          <t>Costo (CLP)</t>
        </is>
      </c>
      <c r="G27" s="26" t="inlineStr">
        <is>
          <t>Observación</t>
        </is>
      </c>
      <c r="H27" s="26" t="inlineStr">
        <is>
          <t>Estado</t>
        </is>
      </c>
    </row>
    <row r="28" ht="30" customHeight="1">
      <c r="B28" s="24" t="inlineStr">
        <is>
          <t>Dominio web (.cl / .com)</t>
        </is>
      </c>
      <c r="C28" s="24" t="inlineStr">
        <is>
          <t>Acceso público</t>
        </is>
      </c>
      <c r="D28" s="17" t="n">
        <v>1</v>
      </c>
      <c r="E28" s="18" t="n">
        <v>15</v>
      </c>
      <c r="F28" s="10">
        <f>D28*E28*$C$6</f>
        <v/>
      </c>
      <c r="G28" s="24" t="inlineStr">
        <is>
          <t>Cantidad en años. Estimación de mercado.</t>
        </is>
      </c>
      <c r="H28" s="24" t="inlineStr">
        <is>
          <t>Estimado</t>
        </is>
      </c>
    </row>
    <row r="29" ht="30" customHeight="1">
      <c r="B29" s="24" t="inlineStr">
        <is>
          <t>Vercel Pro</t>
        </is>
      </c>
      <c r="C29" s="24" t="inlineStr">
        <is>
          <t>Frontend Vue.js + Vite</t>
        </is>
      </c>
      <c r="D29" s="17" t="n">
        <v>3</v>
      </c>
      <c r="E29" s="18" t="n">
        <v>20</v>
      </c>
      <c r="F29" s="10">
        <f>D29*E29*$C$6</f>
        <v/>
      </c>
      <c r="G29" s="24" t="inlineStr">
        <is>
          <t>Cantidad en meses. USD 20 por usuario al mes.</t>
        </is>
      </c>
      <c r="H29" s="24" t="inlineStr">
        <is>
          <t>Estimado</t>
        </is>
      </c>
    </row>
    <row r="30" ht="30" customHeight="1">
      <c r="B30" s="24" t="inlineStr">
        <is>
          <t>Supabase Pro</t>
        </is>
      </c>
      <c r="C30" s="24" t="inlineStr">
        <is>
          <t>PostgreSQL, Auth, PostgREST, Storage</t>
        </is>
      </c>
      <c r="D30" s="17" t="n">
        <v>3</v>
      </c>
      <c r="E30" s="18" t="n">
        <v>25</v>
      </c>
      <c r="F30" s="10">
        <f>D30*E30*$C$6</f>
        <v/>
      </c>
      <c r="G30" s="24" t="inlineStr">
        <is>
          <t>Cantidad en meses. Incluye respaldos diarios.</t>
        </is>
      </c>
      <c r="H30" s="24" t="inlineStr">
        <is>
          <t>Estimado</t>
        </is>
      </c>
    </row>
    <row r="31" ht="30" customHeight="1">
      <c r="B31" s="24" t="inlineStr">
        <is>
          <t>GCP Cloud Run (2 regiones) + Secret Manager</t>
        </is>
      </c>
      <c r="C31" s="24" t="inlineStr">
        <is>
          <t>FastAPI + Docker con redundancia</t>
        </is>
      </c>
      <c r="D31" s="17" t="n">
        <v>3</v>
      </c>
      <c r="E31" s="18" t="n">
        <v>40</v>
      </c>
      <c r="F31" s="10">
        <f>D31*E31*$C$6</f>
        <v/>
      </c>
      <c r="G31" s="24" t="inlineStr">
        <is>
          <t>Cantidad en meses. Cerca de 40% más que la Opción A (informe).</t>
        </is>
      </c>
      <c r="H31" s="24" t="inlineStr">
        <is>
          <t>Estimado</t>
        </is>
      </c>
    </row>
    <row r="32" ht="30" customHeight="1">
      <c r="B32" s="24" t="inlineStr">
        <is>
          <t>Resend Pro</t>
        </is>
      </c>
      <c r="C32" s="24" t="inlineStr">
        <is>
          <t>Correos de Auth (SMTP) y de negocio (API)</t>
        </is>
      </c>
      <c r="D32" s="17" t="n">
        <v>3</v>
      </c>
      <c r="E32" s="18" t="n">
        <v>20</v>
      </c>
      <c r="F32" s="10">
        <f>D32*E32*$C$6</f>
        <v/>
      </c>
      <c r="G32" s="24" t="inlineStr">
        <is>
          <t>Cantidad en meses. Mayor volumen de correos.</t>
        </is>
      </c>
      <c r="H32" s="24" t="inlineStr">
        <is>
          <t>Estimado</t>
        </is>
      </c>
    </row>
    <row r="33" ht="30" customHeight="1">
      <c r="B33" s="24" t="inlineStr">
        <is>
          <t>Transbank Webpay Mall (producción)</t>
        </is>
      </c>
      <c r="C33" s="24" t="inlineStr">
        <is>
          <t>Pagos reales</t>
        </is>
      </c>
      <c r="D33" s="17" t="n">
        <v>3</v>
      </c>
      <c r="E33" s="18" t="n">
        <v>0</v>
      </c>
      <c r="F33" s="10">
        <f>D33*E33*$C$6</f>
        <v/>
      </c>
      <c r="G33" s="24" t="inlineStr">
        <is>
          <t>Sin costo fijo; comisiones por transacción variables y no incluidas.</t>
        </is>
      </c>
      <c r="H33" s="24" t="inlineStr">
        <is>
          <t>Confirmado</t>
        </is>
      </c>
    </row>
    <row r="34" ht="30" customHeight="1">
      <c r="B34" s="24" t="inlineStr">
        <is>
          <t>GitHub Team</t>
        </is>
      </c>
      <c r="C34" s="24" t="inlineStr">
        <is>
          <t>Repositorio y CI/CD (2 usuarios)</t>
        </is>
      </c>
      <c r="D34" s="17" t="n">
        <v>3</v>
      </c>
      <c r="E34" s="18" t="n">
        <v>8</v>
      </c>
      <c r="F34" s="10">
        <f>D34*E34*$C$6</f>
        <v/>
      </c>
      <c r="G34" s="24" t="inlineStr">
        <is>
          <t>Cantidad en meses. USD 4 por usuario al mes.</t>
        </is>
      </c>
      <c r="H34" s="24" t="inlineStr">
        <is>
          <t>Estimado</t>
        </is>
      </c>
    </row>
    <row r="35" ht="30" customHeight="1">
      <c r="B35" s="29" t="inlineStr">
        <is>
          <t>Subtotal infraestructura (desembolso)</t>
        </is>
      </c>
      <c r="C35" s="35" t="n"/>
      <c r="D35" s="35" t="n"/>
      <c r="E35" s="36" t="n"/>
      <c r="F35" s="13">
        <f>SUM(F28:F34)</f>
        <v/>
      </c>
      <c r="G35" s="14" t="inlineStr">
        <is>
          <t>Costo mensual aproximado de USD 113, dentro del rango USD 100 a 120 del informe.</t>
        </is>
      </c>
    </row>
    <row r="36" ht="30" customHeight="1">
      <c r="B36" s="7" t="n"/>
      <c r="C36" s="7" t="n"/>
      <c r="D36" s="7" t="n"/>
      <c r="E36" s="7" t="n"/>
      <c r="F36" s="7" t="n"/>
      <c r="G36" s="7" t="n"/>
    </row>
    <row r="37" ht="30" customHeight="1">
      <c r="B37" s="26" t="inlineStr">
        <is>
          <t>3. OTROS COSTOS DEL PROYECTO</t>
        </is>
      </c>
      <c r="C37" s="35" t="n"/>
      <c r="D37" s="35" t="n"/>
      <c r="E37" s="35" t="n"/>
      <c r="F37" s="35" t="n"/>
      <c r="G37" s="35" t="n"/>
      <c r="H37" s="36" t="n"/>
    </row>
    <row r="38" ht="30" customHeight="1">
      <c r="B38" s="26" t="inlineStr">
        <is>
          <t>Concepto</t>
        </is>
      </c>
      <c r="C38" s="26" t="inlineStr">
        <is>
          <t>Detalle</t>
        </is>
      </c>
      <c r="D38" s="26" t="inlineStr">
        <is>
          <t>Cantidad</t>
        </is>
      </c>
      <c r="E38" s="26" t="inlineStr">
        <is>
          <t>Valor unit. (CLP)</t>
        </is>
      </c>
      <c r="F38" s="26" t="inlineStr">
        <is>
          <t>Costo (CLP)</t>
        </is>
      </c>
      <c r="G38" s="26" t="inlineStr">
        <is>
          <t>Observación</t>
        </is>
      </c>
      <c r="H38" s="26" t="inlineStr">
        <is>
          <t>Estado</t>
        </is>
      </c>
    </row>
    <row r="39" ht="30" customHeight="1">
      <c r="B39" s="24" t="inlineStr">
        <is>
          <t>Internet y electricidad (trabajo remoto)</t>
        </is>
      </c>
      <c r="C39" s="24" t="inlineStr">
        <is>
          <t>Persona-mes</t>
        </is>
      </c>
      <c r="D39" s="19">
        <f>2*$C$7</f>
        <v/>
      </c>
      <c r="E39" s="9" t="n">
        <v>35000</v>
      </c>
      <c r="F39" s="10">
        <f>D39*E39</f>
        <v/>
      </c>
      <c r="G39" s="24" t="inlineStr">
        <is>
          <t>Supuesto: $35.000 mensuales por integrante.</t>
        </is>
      </c>
      <c r="H39" s="24" t="inlineStr">
        <is>
          <t>Estimado</t>
        </is>
      </c>
    </row>
    <row r="40" ht="30" customHeight="1">
      <c r="B40" s="24" t="inlineStr">
        <is>
          <t>Depreciación de notebooks propios</t>
        </is>
      </c>
      <c r="C40" s="24" t="inlineStr">
        <is>
          <t>Equipo-mes</t>
        </is>
      </c>
      <c r="D40" s="19">
        <f>2*$C$7</f>
        <v/>
      </c>
      <c r="E40" s="10">
        <f>ROUND($C$11/$C$12,0)</f>
        <v/>
      </c>
      <c r="F40" s="10">
        <f>D40*E40</f>
        <v/>
      </c>
      <c r="G40" s="24" t="inlineStr">
        <is>
          <t>Valor del equipo / vida útil. No se compran equipos nuevos.</t>
        </is>
      </c>
      <c r="H40" s="24" t="inlineStr">
        <is>
          <t>Estimado</t>
        </is>
      </c>
    </row>
    <row r="41" ht="30" customHeight="1">
      <c r="B41" s="24" t="inlineStr">
        <is>
          <t>Impresión y material de la presentación final</t>
        </is>
      </c>
      <c r="C41" s="24" t="inlineStr">
        <is>
          <t>Global</t>
        </is>
      </c>
      <c r="D41" s="17" t="n">
        <v>1</v>
      </c>
      <c r="E41" s="9" t="n">
        <v>60000</v>
      </c>
      <c r="F41" s="10">
        <f>D41*E41</f>
        <v/>
      </c>
      <c r="G41" s="24" t="inlineStr">
        <is>
          <t>Supuesto del equipo.</t>
        </is>
      </c>
      <c r="H41" s="24" t="inlineStr">
        <is>
          <t>Estimado</t>
        </is>
      </c>
    </row>
    <row r="42" ht="30" customHeight="1">
      <c r="B42" s="24" t="inlineStr">
        <is>
          <t>Herramientas de desarrollo y diseño</t>
        </is>
      </c>
      <c r="C42" s="24" t="inlineStr">
        <is>
          <t>Figma Professional (2 licencias)</t>
        </is>
      </c>
      <c r="D42" s="17" t="n">
        <v>6</v>
      </c>
      <c r="E42" s="9" t="n">
        <v>14250</v>
      </c>
      <c r="F42" s="10">
        <f>D42*E42</f>
        <v/>
      </c>
      <c r="G42" s="24" t="inlineStr">
        <is>
          <t>Cantidad en licencias-mes. USD 15 por licencia (a $950).</t>
        </is>
      </c>
      <c r="H42" s="24" t="inlineStr">
        <is>
          <t>Estimado</t>
        </is>
      </c>
    </row>
    <row r="43" ht="30" customHeight="1">
      <c r="B43" s="24" t="inlineStr">
        <is>
          <t>Asesoría legal</t>
        </is>
      </c>
      <c r="C43" s="24" t="inlineStr">
        <is>
          <t>Términos, privacidad, Transbank</t>
        </is>
      </c>
      <c r="D43" s="17" t="n">
        <v>1</v>
      </c>
      <c r="E43" s="9" t="n">
        <v>250000</v>
      </c>
      <c r="F43" s="10">
        <f>D43*E43</f>
        <v/>
      </c>
      <c r="G43" s="24" t="inlineStr">
        <is>
          <t>Revisión única; necesaria para cobrar a clientes reales.</t>
        </is>
      </c>
      <c r="H43" s="24" t="inlineStr">
        <is>
          <t>Estimado</t>
        </is>
      </c>
    </row>
    <row r="44" ht="30" customHeight="1">
      <c r="B44" s="24" t="inlineStr">
        <is>
          <t>Revisión de seguridad externa</t>
        </is>
      </c>
      <c r="C44" s="24" t="inlineStr">
        <is>
          <t>Pruebas de seguridad</t>
        </is>
      </c>
      <c r="D44" s="17" t="n">
        <v>1</v>
      </c>
      <c r="E44" s="9" t="n">
        <v>400000</v>
      </c>
      <c r="F44" s="10">
        <f>D44*E44</f>
        <v/>
      </c>
      <c r="G44" s="24" t="inlineStr">
        <is>
          <t>Revisa RLS, pagos y manejo de datos bancarios del productor.</t>
        </is>
      </c>
      <c r="H44" s="24" t="inlineStr">
        <is>
          <t>Estimado</t>
        </is>
      </c>
    </row>
    <row r="45" ht="30" customHeight="1">
      <c r="B45" s="29" t="inlineStr">
        <is>
          <t>Subtotal otros costos (desembolso)</t>
        </is>
      </c>
      <c r="C45" s="35" t="n"/>
      <c r="D45" s="35" t="n"/>
      <c r="E45" s="36" t="n"/>
      <c r="F45" s="13">
        <f>SUM(F39:F44)</f>
        <v/>
      </c>
      <c r="G45" s="12" t="n"/>
    </row>
    <row r="46" ht="30" customHeight="1">
      <c r="B46" s="7" t="n"/>
      <c r="C46" s="7" t="n"/>
      <c r="D46" s="7" t="n"/>
      <c r="E46" s="7" t="n"/>
      <c r="F46" s="7" t="n"/>
      <c r="G46" s="7" t="n"/>
    </row>
    <row r="47" ht="30" customHeight="1">
      <c r="B47" s="26" t="inlineStr">
        <is>
          <t>4. RESUMEN DEL PRESUPUESTO ESTIMADO</t>
        </is>
      </c>
      <c r="C47" s="35" t="n"/>
      <c r="D47" s="35" t="n"/>
      <c r="E47" s="35" t="n"/>
      <c r="F47" s="35" t="n"/>
      <c r="G47" s="35" t="n"/>
      <c r="H47" s="36" t="n"/>
    </row>
    <row r="48" ht="30" customHeight="1">
      <c r="B48" s="26" t="inlineStr">
        <is>
          <t>Concepto</t>
        </is>
      </c>
      <c r="C48" s="35" t="n"/>
      <c r="D48" s="35" t="n"/>
      <c r="E48" s="36" t="n"/>
      <c r="F48" s="26" t="inlineStr">
        <is>
          <t>Monto (CLP)</t>
        </is>
      </c>
      <c r="G48" s="26" t="inlineStr">
        <is>
          <t>Observación</t>
        </is>
      </c>
    </row>
    <row r="49" ht="30" customHeight="1">
      <c r="B49" s="24" t="inlineStr">
        <is>
          <t>Desembolso en efectivo (infraestructura + otros costos)</t>
        </is>
      </c>
      <c r="C49" s="35" t="n"/>
      <c r="D49" s="35" t="n"/>
      <c r="E49" s="36" t="n"/>
      <c r="F49" s="10">
        <f>F35+F45+F72</f>
        <v/>
      </c>
      <c r="G49" s="30" t="inlineStr">
        <is>
          <t>Dinero que realmente se paga. Incluye los trámites de la sección 6, hoy registrados en $0 por falta de cotización.</t>
        </is>
      </c>
    </row>
    <row r="50" ht="30" customHeight="1">
      <c r="B50" s="24" t="inlineStr">
        <is>
          <t>Recurso humano valorizado</t>
        </is>
      </c>
      <c r="C50" s="35" t="n"/>
      <c r="D50" s="35" t="n"/>
      <c r="E50" s="36" t="n"/>
      <c r="F50" s="10">
        <f>F22</f>
        <v/>
      </c>
      <c r="G50" s="30" t="inlineStr">
        <is>
          <t>Referencia de mercado; el equipo no recibe pago.</t>
        </is>
      </c>
    </row>
    <row r="51" ht="30" customHeight="1">
      <c r="B51" s="28" t="inlineStr">
        <is>
          <t>Subtotal del proyecto</t>
        </is>
      </c>
      <c r="C51" s="35" t="n"/>
      <c r="D51" s="35" t="n"/>
      <c r="E51" s="36" t="n"/>
      <c r="F51" s="20">
        <f>F49+F50</f>
        <v/>
      </c>
      <c r="G51" s="21" t="n"/>
    </row>
    <row r="52" ht="30" customHeight="1">
      <c r="B52" s="24" t="inlineStr">
        <is>
          <t>Contingencia</t>
        </is>
      </c>
      <c r="C52" s="35" t="n"/>
      <c r="D52" s="35" t="n"/>
      <c r="E52" s="36" t="n"/>
      <c r="F52" s="10">
        <f>F51*$C$10</f>
        <v/>
      </c>
      <c r="G52" s="30" t="inlineStr">
        <is>
          <t>Porcentaje definido en los supuestos.</t>
        </is>
      </c>
    </row>
    <row r="53" ht="30" customHeight="1">
      <c r="B53" s="29" t="inlineStr">
        <is>
          <t>TOTAL PRESUPUESTO ESTIMADO</t>
        </is>
      </c>
      <c r="C53" s="35" t="n"/>
      <c r="D53" s="35" t="n"/>
      <c r="E53" s="36" t="n"/>
      <c r="F53" s="13">
        <f>F51+F52</f>
        <v/>
      </c>
      <c r="G53" s="14" t="inlineStr">
        <is>
          <t>Valor total del proyecto.</t>
        </is>
      </c>
    </row>
    <row r="54" ht="30" customHeight="1">
      <c r="B54" s="24" t="inlineStr">
        <is>
          <t>Total presupuesto estimado en USD</t>
        </is>
      </c>
      <c r="C54" s="35" t="n"/>
      <c r="D54" s="35" t="n"/>
      <c r="E54" s="36" t="n"/>
      <c r="F54" s="22">
        <f>F53/$C$6</f>
        <v/>
      </c>
      <c r="G54" s="30" t="inlineStr">
        <is>
          <t>Según el tipo de cambio supuesto.</t>
        </is>
      </c>
    </row>
    <row r="55" ht="30" customHeight="1">
      <c r="B55" s="25" t="inlineStr">
        <is>
          <t>Desembolso en efectivo con contingencia</t>
        </is>
      </c>
      <c r="C55" s="35" t="n"/>
      <c r="D55" s="35" t="n"/>
      <c r="E55" s="36" t="n"/>
      <c r="F55" s="23">
        <f>F49*(1+$C$10)</f>
        <v/>
      </c>
      <c r="G55" s="30" t="inlineStr">
        <is>
          <t>Monto mínimo a tener disponible.</t>
        </is>
      </c>
    </row>
    <row r="56" ht="30" customHeight="1">
      <c r="B56" s="7" t="n"/>
      <c r="C56" s="7" t="n"/>
      <c r="D56" s="7" t="n"/>
      <c r="E56" s="7" t="n"/>
      <c r="F56" s="7" t="n"/>
      <c r="G56" s="7" t="n"/>
    </row>
    <row r="57" ht="30" customHeight="1">
      <c r="B57" s="26" t="inlineStr">
        <is>
          <t>5. PROYECCIÓN ANUAL DE CONTINUIDAD (OPCIÓN B) – REFERENCIAL, NO INCLUIDA EN EL TOTAL</t>
        </is>
      </c>
      <c r="C57" s="35" t="n"/>
      <c r="D57" s="35" t="n"/>
      <c r="E57" s="35" t="n"/>
      <c r="F57" s="35" t="n"/>
      <c r="G57" s="35" t="n"/>
      <c r="H57" s="36" t="n"/>
    </row>
    <row r="58" ht="30" customHeight="1">
      <c r="B58" s="26" t="inlineStr">
        <is>
          <t>Escenario</t>
        </is>
      </c>
      <c r="C58" s="26" t="inlineStr">
        <is>
          <t>Detalle</t>
        </is>
      </c>
      <c r="D58" s="26" t="inlineStr">
        <is>
          <t>Meses</t>
        </is>
      </c>
      <c r="E58" s="26" t="inlineStr">
        <is>
          <t>Valor mensual (USD)</t>
        </is>
      </c>
      <c r="F58" s="26" t="inlineStr">
        <is>
          <t>Costo (CLP)</t>
        </is>
      </c>
      <c r="G58" s="26" t="inlineStr">
        <is>
          <t>Observación</t>
        </is>
      </c>
    </row>
    <row r="59" ht="30" customHeight="1">
      <c r="B59" s="24" t="inlineStr">
        <is>
          <t>Mínimo mensual</t>
        </is>
      </c>
      <c r="C59" s="24" t="inlineStr">
        <is>
          <t>Infraestructura productiva</t>
        </is>
      </c>
      <c r="D59" s="17" t="n">
        <v>1</v>
      </c>
      <c r="E59" s="18" t="n">
        <v>100</v>
      </c>
      <c r="F59" s="10">
        <f>D59*E59*$C$6</f>
        <v/>
      </c>
      <c r="G59" s="24" t="inlineStr">
        <is>
          <t>Rango del informe: USD 100 a 120 al mes.</t>
        </is>
      </c>
    </row>
    <row r="60" ht="30" customHeight="1">
      <c r="B60" s="24" t="inlineStr">
        <is>
          <t>Máximo mensual</t>
        </is>
      </c>
      <c r="C60" s="24" t="inlineStr">
        <is>
          <t>Infraestructura productiva</t>
        </is>
      </c>
      <c r="D60" s="17" t="n">
        <v>1</v>
      </c>
      <c r="E60" s="18" t="n">
        <v>120</v>
      </c>
      <c r="F60" s="10">
        <f>D60*E60*$C$6</f>
        <v/>
      </c>
      <c r="G60" s="24" t="inlineStr">
        <is>
          <t>Rango del informe: USD 100 a 120 al mes.</t>
        </is>
      </c>
    </row>
    <row r="61" ht="30" customHeight="1">
      <c r="B61" s="24" t="inlineStr">
        <is>
          <t>Mínimo anual</t>
        </is>
      </c>
      <c r="C61" s="24" t="inlineStr">
        <is>
          <t>Primer año en producción</t>
        </is>
      </c>
      <c r="D61" s="17" t="n">
        <v>12</v>
      </c>
      <c r="E61" s="18" t="n">
        <v>100</v>
      </c>
      <c r="F61" s="10">
        <f>D61*E61*$C$6</f>
        <v/>
      </c>
      <c r="G61" s="24" t="inlineStr">
        <is>
          <t>Proyección de continuidad.</t>
        </is>
      </c>
    </row>
    <row r="62" ht="30" customHeight="1">
      <c r="B62" s="24" t="inlineStr">
        <is>
          <t>Máximo anual</t>
        </is>
      </c>
      <c r="C62" s="24" t="inlineStr">
        <is>
          <t>Primer año en producción</t>
        </is>
      </c>
      <c r="D62" s="17" t="n">
        <v>12</v>
      </c>
      <c r="E62" s="18" t="n">
        <v>120</v>
      </c>
      <c r="F62" s="10">
        <f>D62*E62*$C$6</f>
        <v/>
      </c>
      <c r="G62" s="24" t="inlineStr">
        <is>
          <t>Más comisiones Webpay por transacción (variables, no incluidas).</t>
        </is>
      </c>
    </row>
    <row r="63" ht="30" customHeight="1">
      <c r="B63" s="7" t="n"/>
      <c r="C63" s="7" t="n"/>
      <c r="D63" s="7" t="n"/>
      <c r="E63" s="7" t="n"/>
      <c r="F63" s="7" t="n"/>
      <c r="G63" s="7" t="n"/>
    </row>
    <row r="64" ht="30" customHeight="1">
      <c r="B64" s="27" t="n"/>
    </row>
    <row r="65" ht="15" customHeight="1">
      <c r="B65" s="26" t="inlineStr">
        <is>
          <t>6. TRÁMITES DE CONSTITUCIÓN, SII Y PATENTE MUNICIPAL – UN REGISTRO POR CONCEPTO (MONTOS NO COTIZADOS)</t>
        </is>
      </c>
      <c r="C65" s="35" t="n"/>
      <c r="D65" s="35" t="n"/>
      <c r="E65" s="35" t="n"/>
      <c r="F65" s="35" t="n"/>
      <c r="G65" s="35" t="n"/>
      <c r="H65" s="36" t="n"/>
    </row>
    <row r="66" ht="30" customHeight="1">
      <c r="B66" s="26" t="inlineStr">
        <is>
          <t>Concepto</t>
        </is>
      </c>
      <c r="C66" s="26" t="inlineStr">
        <is>
          <t>Naturaleza</t>
        </is>
      </c>
      <c r="D66" s="26" t="inlineStr">
        <is>
          <t>Cantidad</t>
        </is>
      </c>
      <c r="E66" s="26" t="inlineStr">
        <is>
          <t>Valor unit. (CLP)</t>
        </is>
      </c>
      <c r="F66" s="26" t="inlineStr">
        <is>
          <t>Costo (CLP)</t>
        </is>
      </c>
      <c r="G66" s="26" t="inlineStr">
        <is>
          <t>Observación</t>
        </is>
      </c>
      <c r="H66" s="26" t="inlineStr">
        <is>
          <t>Estado</t>
        </is>
      </c>
    </row>
    <row r="67" ht="75" customHeight="1">
      <c r="B67" s="24" t="inlineStr">
        <is>
          <t>Constitución de la empresa (EIRL o SpA) y firma ante notario</t>
        </is>
      </c>
      <c r="C67" s="24" t="inlineStr">
        <is>
          <t>Trámite legal y notarial</t>
        </is>
      </c>
      <c r="D67" s="8" t="n">
        <v>1</v>
      </c>
      <c r="E67" s="38" t="n">
        <v>0</v>
      </c>
      <c r="F67" s="10">
        <f>D67*E67</f>
        <v/>
      </c>
      <c r="G67" s="24" t="inlineStr">
        <is>
          <t>Registro único del concepto: no se repite en otras filas de esta planilla ni en el Plan de Calidad y de Costos. Sin monto cotizado: se deja en $0 y el total se recalcula al ingresar el valor unitario.</t>
        </is>
      </c>
      <c r="H67" s="24" t="inlineStr">
        <is>
          <t>Pendiente de cotización</t>
        </is>
      </c>
    </row>
    <row r="68" ht="60" customHeight="1">
      <c r="B68" s="24" t="inlineStr">
        <is>
          <t>Inscripción en el Registro de Empresas y Sociedades</t>
        </is>
      </c>
      <c r="C68" s="24" t="inlineStr">
        <is>
          <t>Trámite legal</t>
        </is>
      </c>
      <c r="D68" s="8" t="n">
        <v>1</v>
      </c>
      <c r="E68" s="38" t="n">
        <v>0</v>
      </c>
      <c r="F68" s="10">
        <f>D68*E68</f>
        <v/>
      </c>
      <c r="G68" s="24" t="inlineStr">
        <is>
          <t>Supuesto a validar: la inscripción en línea no tendría costo directo para el usuario. Confirmar en el sitio del Registro de Empresas y Sociedades antes de usarlo como referencia.</t>
        </is>
      </c>
      <c r="H68" s="24" t="inlineStr">
        <is>
          <t>Pendiente de confirmación</t>
        </is>
      </c>
    </row>
    <row r="69" ht="75" customHeight="1">
      <c r="B69" s="24" t="inlineStr">
        <is>
          <t>Inicio de actividades ante el SII</t>
        </is>
      </c>
      <c r="C69" s="24" t="inlineStr">
        <is>
          <t>Trámite tributario</t>
        </is>
      </c>
      <c r="D69" s="8" t="n">
        <v>1</v>
      </c>
      <c r="E69" s="38" t="n">
        <v>0</v>
      </c>
      <c r="F69" s="10">
        <f>D69*E69</f>
        <v/>
      </c>
      <c r="G69" s="24" t="inlineStr">
        <is>
          <t>Se realiza en línea en el sitio del SII y es requisito para emitir documentos tributarios. Supuesto a validar: no tendría costo directo; si se requiere firma electrónica avanzada, su valor debe cotizarse aparte.</t>
        </is>
      </c>
      <c r="H69" s="24" t="inlineStr">
        <is>
          <t>Pendiente de confirmación</t>
        </is>
      </c>
    </row>
    <row r="70" ht="45" customHeight="1">
      <c r="B70" s="24" t="inlineStr">
        <is>
          <t>Patente municipal (permiso de funcionamiento)</t>
        </is>
      </c>
      <c r="C70" s="24" t="inlineStr">
        <is>
          <t>Trámite municipal</t>
        </is>
      </c>
      <c r="D70" s="8" t="n">
        <v>1</v>
      </c>
      <c r="E70" s="38" t="n">
        <v>0</v>
      </c>
      <c r="F70" s="10">
        <f>D70*E70</f>
        <v/>
      </c>
      <c r="G70" s="24" t="inlineStr">
        <is>
          <t>El valor depende de la comuna y del capital declarado. Debe cotizarse en la municipalidad del domicilio comercial.</t>
        </is>
      </c>
      <c r="H70" s="24" t="inlineStr">
        <is>
          <t>Pendiente de cotización</t>
        </is>
      </c>
    </row>
    <row r="71" ht="60" customHeight="1">
      <c r="B71" s="24" t="inlineStr">
        <is>
          <t>Habilitación de facturación y boleta electrónica del SII</t>
        </is>
      </c>
      <c r="C71" s="24" t="inlineStr">
        <is>
          <t>Trámite tributario</t>
        </is>
      </c>
      <c r="D71" s="8" t="n">
        <v>1</v>
      </c>
      <c r="E71" s="38" t="n">
        <v>0</v>
      </c>
      <c r="F71" s="10">
        <f>D71*E71</f>
        <v/>
      </c>
      <c r="G71" s="24" t="inlineStr">
        <is>
          <t>Supuesto a validar: el SII ofrece un sistema de facturación electrónica sin costo para el contribuyente. Confirmar antes de darlo por gratuito. No duplica el inicio de actividades.</t>
        </is>
      </c>
      <c r="H71" s="24" t="inlineStr">
        <is>
          <t>Pendiente de confirmación</t>
        </is>
      </c>
    </row>
    <row r="72" ht="30" customHeight="1">
      <c r="B72" s="29" t="inlineStr">
        <is>
          <t>Subtotal trámites (registrado en $0 hasta contar con cotización)</t>
        </is>
      </c>
      <c r="C72" s="35" t="n"/>
      <c r="D72" s="35" t="n"/>
      <c r="E72" s="36" t="n"/>
      <c r="F72" s="13">
        <f>SUM(F67:F71)</f>
        <v/>
      </c>
      <c r="G72" s="29" t="inlineStr">
        <is>
          <t>No altera el total estimado mientras no exista un monto cotizado. Al reemplazar los valores unitarios, el desembolso en efectivo (sección 4) se recalcula solo.</t>
        </is>
      </c>
    </row>
    <row r="74" ht="15" customHeight="1">
      <c r="B74" s="26" t="inlineStr">
        <is>
          <t>7. RESOLUCIÓN SANITARIA Y ALCANCE DE PRODUCTOS (CONDICIÓN POR VALIDAR CON LA AUTORIDAD SANITARIA)</t>
        </is>
      </c>
      <c r="C74" s="35" t="n"/>
      <c r="D74" s="35" t="n"/>
      <c r="E74" s="35" t="n"/>
      <c r="F74" s="35" t="n"/>
      <c r="G74" s="35" t="n"/>
      <c r="H74" s="36" t="n"/>
    </row>
    <row r="75" ht="30" customHeight="1">
      <c r="B75" s="26" t="inlineStr">
        <is>
          <t>Alternativa</t>
        </is>
      </c>
      <c r="C75" s="26" t="inlineStr">
        <is>
          <t>Alcance de la oferta</t>
        </is>
      </c>
      <c r="D75" s="26" t="inlineStr">
        <is>
          <t>Cantidad</t>
        </is>
      </c>
      <c r="E75" s="26" t="inlineStr">
        <is>
          <t>Valor unit. (CLP)</t>
        </is>
      </c>
      <c r="F75" s="26" t="inlineStr">
        <is>
          <t>Costo (CLP)</t>
        </is>
      </c>
      <c r="G75" s="26" t="inlineStr">
        <is>
          <t>Observación</t>
        </is>
      </c>
      <c r="H75" s="26" t="inlineStr">
        <is>
          <t>Estado</t>
        </is>
      </c>
    </row>
    <row r="76" ht="120" customHeight="1">
      <c r="B76" s="24" t="inlineStr">
        <is>
          <t>Alternativa A: oferta limitada a productos sin procesar (recomendada para el MVP)</t>
        </is>
      </c>
      <c r="C76" s="24" t="inlineStr">
        <is>
          <t>Frutas, verduras y huevos sin procesar, sin elaboración ni envasado propio</t>
        </is>
      </c>
      <c r="D76" s="8" t="n">
        <v>1</v>
      </c>
      <c r="E76" s="38" t="n">
        <v>0</v>
      </c>
      <c r="F76" s="10">
        <f>D76*E76</f>
        <v/>
      </c>
      <c r="G76" s="24" t="inlineStr">
        <is>
          <t>Efecto analizado: reduce la exposición a exigencias sanitarias de elaboración y etiquetado, pero la necesidad de resolución sanitaria sigue siendo una condición por validar con la SEREMI de Salud, porque depende del tipo de producto, del lugar de acopio y del transporte. No se afirma que sea exigible ni que deje de serlo.</t>
        </is>
      </c>
      <c r="H76" s="24" t="inlineStr">
        <is>
          <t>Pendiente de confirmación</t>
        </is>
      </c>
    </row>
    <row r="77" ht="60" customHeight="1">
      <c r="B77" s="24" t="inlineStr">
        <is>
          <t>Alternativa B: oferta con productos procesados o envasados (no adoptada)</t>
        </is>
      </c>
      <c r="C77" s="24" t="inlineStr">
        <is>
          <t>Productos elaborados, envasados o con etiquetado propio</t>
        </is>
      </c>
      <c r="D77" s="8" t="n">
        <v>1</v>
      </c>
      <c r="E77" s="38" t="n">
        <v>0</v>
      </c>
      <c r="F77" s="10">
        <f>D77*E77</f>
        <v/>
      </c>
      <c r="G77" s="24" t="inlineStr">
        <is>
          <t>Aumenta la exposición a exigencias sanitarias del elaborador o de la bodega y a requisitos de etiquetado, con posible inversión y plazos adicionales.</t>
        </is>
      </c>
      <c r="H77" s="24" t="inlineStr">
        <is>
          <t>Pendiente de cotización</t>
        </is>
      </c>
    </row>
    <row r="78" ht="60" customHeight="1">
      <c r="B78" s="24" t="inlineStr">
        <is>
          <t>Etiquetado y transporte de alimentos</t>
        </is>
      </c>
      <c r="C78" s="24" t="inlineStr">
        <is>
          <t>Información del producto y condiciones del traslado</t>
        </is>
      </c>
      <c r="D78" s="8" t="n">
        <v>1</v>
      </c>
      <c r="E78" s="38" t="n">
        <v>0</v>
      </c>
      <c r="F78" s="10">
        <f>D78*E78</f>
        <v/>
      </c>
      <c r="G78" s="24" t="inlineStr">
        <is>
          <t>Condición por validar con la autoridad sanitaria y con los requisitos aplicables. No se declara como obligación vigente del MVP ni como gasto comprometido.</t>
        </is>
      </c>
      <c r="H78" s="24" t="inlineStr">
        <is>
          <t>Pendiente de confirmación</t>
        </is>
      </c>
    </row>
    <row r="79" ht="30" customHeight="1">
      <c r="B79" s="29" t="inlineStr">
        <is>
          <t>Subtotal resolución sanitaria y etiquetado (sin cotización)</t>
        </is>
      </c>
      <c r="C79" s="35" t="n"/>
      <c r="D79" s="35" t="n"/>
      <c r="E79" s="36" t="n"/>
      <c r="F79" s="13">
        <f>SUM(F76:F78)</f>
        <v/>
      </c>
      <c r="G79" s="29" t="inlineStr">
        <is>
          <t>Se mantiene en $0: no hay cotización ni pronunciamiento de la autoridad sanitaria.</t>
        </is>
      </c>
    </row>
    <row r="81" ht="15" customHeight="1">
      <c r="B81" s="26" t="inlineStr">
        <is>
          <t>8. DELIVERY: ALTERNATIVAS EVALUADAS (COSTOS, INGRESOS Y RIESGOS)</t>
        </is>
      </c>
      <c r="C81" s="35" t="n"/>
      <c r="D81" s="35" t="n"/>
      <c r="E81" s="35" t="n"/>
      <c r="F81" s="35" t="n"/>
      <c r="G81" s="35" t="n"/>
      <c r="H81" s="36" t="n"/>
    </row>
    <row r="82" ht="30" customHeight="1">
      <c r="B82" s="26" t="inlineStr">
        <is>
          <t>Alternativa</t>
        </is>
      </c>
      <c r="C82" s="26" t="inlineStr">
        <is>
          <t>Descripción</t>
        </is>
      </c>
      <c r="D82" s="26" t="inlineStr">
        <is>
          <t>Cantidad</t>
        </is>
      </c>
      <c r="E82" s="26" t="inlineStr">
        <is>
          <t>Valor unit. (CLP)</t>
        </is>
      </c>
      <c r="F82" s="26" t="inlineStr">
        <is>
          <t>Costo (CLP)</t>
        </is>
      </c>
      <c r="G82" s="26" t="inlineStr">
        <is>
          <t>Observación</t>
        </is>
      </c>
      <c r="H82" s="26" t="inlineStr">
        <is>
          <t>Estado</t>
        </is>
      </c>
    </row>
    <row r="83" ht="135" customHeight="1">
      <c r="B83" s="24" t="inlineStr">
        <is>
          <t>1. Despacho a cargo del productor (ADOPTADA: línea base del MVP)</t>
        </is>
      </c>
      <c r="C83" s="24" t="inlineStr">
        <is>
          <t>El Vendedor entrega el pedido y lo cierra con el código de verificación (RF-007 y RF-025)</t>
        </is>
      </c>
      <c r="D83" s="8" t="n">
        <v>1</v>
      </c>
      <c r="E83" s="38" t="n">
        <v>0</v>
      </c>
      <c r="F83" s="10">
        <f>D83*E83</f>
        <v/>
      </c>
      <c r="G83" s="24" t="inlineStr">
        <is>
          <t>Adoptada porque es la definida en el ERS: no exige inversión ni contratación de terceros y su costo para CuTuCo es $0. En ingresos, la tarifa fija de $3.500 por pedido se descuenta en el Split Payment (RF-014); la contraprestación asociada a esa tarifa está pendiente de confirmación. Riesgo: la entrega depende de la capacidad de cada productor y CuTuCo no tiene respaldo logístico propio.</t>
        </is>
      </c>
      <c r="H83" s="24" t="inlineStr">
        <is>
          <t>Confirmado</t>
        </is>
      </c>
    </row>
    <row r="84" ht="75" customHeight="1">
      <c r="B84" s="24" t="inlineStr">
        <is>
          <t>2. Reparto externalizado (evaluada, no contratada)</t>
        </is>
      </c>
      <c r="C84" s="24" t="inlineStr">
        <is>
          <t>Empresa de reparto o red de repartidores externos con tarifa por entrega</t>
        </is>
      </c>
      <c r="D84" s="8" t="n">
        <v>1</v>
      </c>
      <c r="E84" s="38" t="n">
        <v>0</v>
      </c>
      <c r="F84" s="10">
        <f>D84*E84</f>
        <v/>
      </c>
      <c r="G84" s="24" t="inlineStr">
        <is>
          <t>Sin inversión en flota, con costo variable por pedido y dependencia de terceros. Exige definir si la tarifa fija de $3.500 cubre la entrega. No se contrata durante el MVP.</t>
        </is>
      </c>
      <c r="H84" s="24" t="inlineStr">
        <is>
          <t>Pendiente de cotización</t>
        </is>
      </c>
    </row>
    <row r="85" ht="75" customHeight="1">
      <c r="B85" s="24" t="inlineStr">
        <is>
          <t>3. Flota y repartidores propios (evaluada, no contratada)</t>
        </is>
      </c>
      <c r="C85" s="24" t="inlineStr">
        <is>
          <t>Camiones, furgones o motos propios y repartidores contratados</t>
        </is>
      </c>
      <c r="D85" s="8" t="n">
        <v>1</v>
      </c>
      <c r="E85" s="38" t="n">
        <v>0</v>
      </c>
      <c r="F85" s="10">
        <f>D85*E85</f>
        <v/>
      </c>
      <c r="G85" s="24" t="inlineStr">
        <is>
          <t>Entrega controlada, con inversión inicial y costo fijo mensual (vehículos, combustible, seguros y remuneraciones). No se contrata: depende del volumen real de pedidos y de una decisión formal de inversión.</t>
        </is>
      </c>
      <c r="H85" s="24" t="inlineStr">
        <is>
          <t>Pendiente de cotización</t>
        </is>
      </c>
    </row>
    <row r="86" ht="45" customHeight="1">
      <c r="B86" s="29" t="inlineStr">
        <is>
          <t>Subtotal delivery (alternativas no contratadas, sin cotización)</t>
        </is>
      </c>
      <c r="C86" s="35" t="n"/>
      <c r="D86" s="35" t="n"/>
      <c r="E86" s="36" t="n"/>
      <c r="F86" s="13">
        <f>SUM(F83:F85)</f>
        <v/>
      </c>
      <c r="G86" s="29" t="inlineStr">
        <is>
          <t>Criterio de decisión: se adopta la alternativa 1 por ser la línea base del MVP y no generar desembolso. Las alternativas 2 y 3 se reevalúan solo si el volumen de pedidos lo justifica, con cotización y presupuesto aprobado.</t>
        </is>
      </c>
    </row>
    <row r="88" ht="15" customHeight="1">
      <c r="B88" s="26" t="inlineStr">
        <is>
          <t>9. CONDICIONES TRIBUTARIAS, COMERCIALES, SANITARIAS Y OPERATIVAS A VALIDAR</t>
        </is>
      </c>
      <c r="C88" s="35" t="n"/>
      <c r="D88" s="35" t="n"/>
      <c r="E88" s="35" t="n"/>
      <c r="F88" s="35" t="n"/>
      <c r="G88" s="35" t="n"/>
      <c r="H88" s="36" t="n"/>
    </row>
    <row r="89" ht="30" customHeight="1">
      <c r="B89" s="26" t="inlineStr">
        <is>
          <t>Tema</t>
        </is>
      </c>
      <c r="C89" s="26" t="inlineStr">
        <is>
          <t>Qué se debe validar y efecto en el presupuesto</t>
        </is>
      </c>
      <c r="D89" s="35" t="n"/>
      <c r="E89" s="35" t="n"/>
      <c r="F89" s="36" t="n"/>
      <c r="G89" s="26" t="inlineStr">
        <is>
          <t>Nota</t>
        </is>
      </c>
      <c r="H89" s="26" t="inlineStr">
        <is>
          <t>Estado</t>
        </is>
      </c>
    </row>
    <row r="90" ht="60" customHeight="1">
      <c r="B90" s="24" t="inlineStr">
        <is>
          <t>IVA y boleta electrónica</t>
        </is>
      </c>
      <c r="C90" s="24" t="inlineStr">
        <is>
          <t>El ERS define boleta a consumidor final con RUT genérico 66.666.666-6 y factura cuando el comprador es una empresa (B2B). Falta confirmar el tratamiento del IVA sobre la comisión y sobre la tarifa fija por pedido, y si los montos del fee se expresan con o sin IVA. Efecto en el presupuesto: por definir.</t>
        </is>
      </c>
      <c r="D90" s="35" t="n"/>
      <c r="E90" s="35" t="n"/>
      <c r="F90" s="36" t="n"/>
      <c r="G90" s="24" t="inlineStr">
        <is>
          <t>Requiere revisión de un contador; pendiente de confirmación.</t>
        </is>
      </c>
      <c r="H90" s="24" t="inlineStr">
        <is>
          <t>Pendiente de confirmación</t>
        </is>
      </c>
    </row>
    <row r="91" ht="45" customHeight="1">
      <c r="B91" s="24" t="inlineStr">
        <is>
          <t>Patente municipal</t>
        </is>
      </c>
      <c r="C91" s="24" t="inlineStr">
        <is>
          <t>Aplicabilidad, comuna y base de cálculo del permiso de funcionamiento. Efecto: costo periódico no incluido en el total hasta contar con cotización.</t>
        </is>
      </c>
      <c r="D91" s="35" t="n"/>
      <c r="E91" s="35" t="n"/>
      <c r="F91" s="36" t="n"/>
      <c r="G91" s="24" t="inlineStr">
        <is>
          <t>Registrada en la sección 6.</t>
        </is>
      </c>
      <c r="H91" s="24" t="inlineStr">
        <is>
          <t>Pendiente de cotización</t>
        </is>
      </c>
    </row>
    <row r="92" ht="45" customHeight="1">
      <c r="B92" s="24" t="inlineStr">
        <is>
          <t>Resolución sanitaria</t>
        </is>
      </c>
      <c r="C92" s="24" t="inlineStr">
        <is>
          <t>Aplicabilidad según el tipo de producto, el lugar de acopio y el transporte. Efecto: podría exigir habilitación de bodega o de sala de proceso, hoy no presupuestada.</t>
        </is>
      </c>
      <c r="D92" s="35" t="n"/>
      <c r="E92" s="35" t="n"/>
      <c r="F92" s="36" t="n"/>
      <c r="G92" s="24" t="inlineStr">
        <is>
          <t>Analizada en la sección 7.</t>
        </is>
      </c>
      <c r="H92" s="24" t="inlineStr">
        <is>
          <t>Pendiente de confirmación</t>
        </is>
      </c>
    </row>
    <row r="93" ht="45" customHeight="1">
      <c r="B93" s="24" t="inlineStr">
        <is>
          <t>Etiquetado de productos</t>
        </is>
      </c>
      <c r="C93" s="24" t="inlineStr">
        <is>
          <t>Información obligatoria del producto cuando corresponda (origen, peso, fecha y responsable). Efecto: diseño e impresión de etiquetas, hoy no presupuestados.</t>
        </is>
      </c>
      <c r="D93" s="35" t="n"/>
      <c r="E93" s="35" t="n"/>
      <c r="F93" s="36" t="n"/>
      <c r="G93" s="24" t="inlineStr">
        <is>
          <t>Condición por validar con la autoridad sanitaria.</t>
        </is>
      </c>
      <c r="H93" s="24" t="inlineStr">
        <is>
          <t>Pendiente de confirmación</t>
        </is>
      </c>
    </row>
    <row r="94" ht="45" customHeight="1">
      <c r="B94" s="24" t="inlineStr">
        <is>
          <t>Transporte de alimentos</t>
        </is>
      </c>
      <c r="C94" s="24" t="inlineStr">
        <is>
          <t>Condiciones del traslado (temperatura, envases y limpieza) cuando el despacho lo realiza el productor. Efecto: podría exigir envases o cajas adicionales.</t>
        </is>
      </c>
      <c r="D94" s="35" t="n"/>
      <c r="E94" s="35" t="n"/>
      <c r="F94" s="36" t="n"/>
      <c r="G94" s="24" t="inlineStr">
        <is>
          <t>Condición por validar.</t>
        </is>
      </c>
      <c r="H94" s="24" t="inlineStr">
        <is>
          <t>Pendiente de confirmación</t>
        </is>
      </c>
    </row>
    <row r="95" ht="45" customHeight="1">
      <c r="B95" s="24" t="inlineStr">
        <is>
          <t>Comisión de Transbank por transacción</t>
        </is>
      </c>
      <c r="C95" s="24" t="inlineStr">
        <is>
          <t>Monto de la comisión y quién la asume en el contrato de Webpay Mall. Efecto: si la asume CuTuCo, se descuenta del ingreso por fee y cambia el punto de equilibrio.</t>
        </is>
      </c>
      <c r="D95" s="35" t="n"/>
      <c r="E95" s="35" t="n"/>
      <c r="F95" s="36" t="n"/>
      <c r="G95" s="24" t="inlineStr">
        <is>
          <t>No incluida en el total; pendiente de confirmación.</t>
        </is>
      </c>
      <c r="H95" s="24" t="inlineStr">
        <is>
          <t>Pendiente de confirmación</t>
        </is>
      </c>
    </row>
    <row r="96" ht="45" customHeight="1">
      <c r="B96" s="24" t="inlineStr">
        <is>
          <t>Registro del Código de Comercio Mall</t>
        </is>
      </c>
      <c r="C96" s="24" t="inlineStr">
        <is>
          <t>El código se obtiene en el trámite con Transbank y es un paso posterior e independiente de la aprobación de la postulación. Mientras un productor no lo tenga, no puede operar y sus productos no se muestran en el catálogo.</t>
        </is>
      </c>
      <c r="D96" s="35" t="n"/>
      <c r="E96" s="35" t="n"/>
      <c r="F96" s="36" t="n"/>
      <c r="G96" s="24" t="inlineStr">
        <is>
          <t>Trámite fuera del flujo principal de la plataforma.</t>
        </is>
      </c>
      <c r="H96" s="24" t="inlineStr">
        <is>
          <t>Pendiente de confirmación</t>
        </is>
      </c>
    </row>
    <row r="97" ht="45" customHeight="1">
      <c r="B97" s="24" t="inlineStr">
        <is>
          <t>Datos bancarios y documentos de postulación</t>
        </is>
      </c>
      <c r="C97" s="24" t="inlineStr">
        <is>
          <t>Protección mediante RLS, policies, grants y permisos de almacenamiento de Supabase. Efecto: sin costo adicional durante el MVP.</t>
        </is>
      </c>
      <c r="D97" s="35" t="n"/>
      <c r="E97" s="35" t="n"/>
      <c r="F97" s="36" t="n"/>
      <c r="G97" s="24" t="inlineStr">
        <is>
          <t>La inscripción de la cuenta bancaria en Transbank es un trámite externo al flujo de la plataforma; los datos recibidos se protegen con RLS, policies, grants y permisos de almacenamiento.</t>
        </is>
      </c>
      <c r="H97" s="24" t="inlineStr">
        <is>
          <t>Confirmado</t>
        </is>
      </c>
    </row>
    <row r="98" ht="45" customHeight="1">
      <c r="B98" s="24" t="inlineStr">
        <is>
          <t>Suscripción mensual por productor</t>
        </is>
      </c>
      <c r="C98" s="24" t="inlineStr">
        <is>
          <t>Precio y adopción del modelo proyectado. Efecto en los ingresos: se modela desde el Año 1 como negocio proyectado.</t>
        </is>
      </c>
      <c r="D98" s="35" t="n"/>
      <c r="E98" s="35" t="n"/>
      <c r="F98" s="36" t="n"/>
      <c r="G98" s="24" t="inlineStr">
        <is>
          <t>La facturación de la suscripción no forma parte del MVP.</t>
        </is>
      </c>
      <c r="H98" s="24" t="inlineStr">
        <is>
          <t>Fuera del MVP</t>
        </is>
      </c>
    </row>
    <row r="99" ht="45" customHeight="1">
      <c r="B99" s="24" t="inlineStr">
        <is>
          <t>Delivery</t>
        </is>
      </c>
      <c r="C99" s="24" t="inlineStr">
        <is>
          <t>Alternativa adoptada y su efecto en costos, ingresos y riesgos.</t>
        </is>
      </c>
      <c r="D99" s="35" t="n"/>
      <c r="E99" s="35" t="n"/>
      <c r="F99" s="36" t="n"/>
      <c r="G99" s="24" t="inlineStr">
        <is>
          <t>Analizada en la sección 8.</t>
        </is>
      </c>
      <c r="H99" s="24" t="inlineStr">
        <is>
          <t>Confirmado</t>
        </is>
      </c>
    </row>
    <row r="101" ht="15" customHeight="1">
      <c r="B101" s="26" t="inlineStr">
        <is>
          <t>10. ESTADOS DEL PRESUPUESTO Y LEYENDA (APLICA A TODAS LAS FILAS DE ESTA HOJA)</t>
        </is>
      </c>
      <c r="C101" s="35" t="n"/>
      <c r="D101" s="35" t="n"/>
      <c r="E101" s="35" t="n"/>
      <c r="F101" s="35" t="n"/>
      <c r="G101" s="35" t="n"/>
      <c r="H101" s="36" t="n"/>
    </row>
    <row r="102" ht="30" customHeight="1">
      <c r="B102" s="26" t="inlineStr">
        <is>
          <t>Estado</t>
        </is>
      </c>
      <c r="C102" s="26" t="inlineStr">
        <is>
          <t>Significado</t>
        </is>
      </c>
      <c r="D102" s="35" t="n"/>
      <c r="E102" s="35" t="n"/>
      <c r="F102" s="35" t="n"/>
      <c r="G102" s="35" t="n"/>
      <c r="H102" s="36" t="n"/>
    </row>
    <row r="103" ht="30" customHeight="1">
      <c r="B103" s="24" t="inlineStr">
        <is>
          <t>Confirmado</t>
        </is>
      </c>
      <c r="C103" s="24" t="inlineStr">
        <is>
          <t>Monto o condición verificada en la documentación del proyecto o del proveedor. Incluye los niveles gratuitos, que hoy no generan desembolso.</t>
        </is>
      </c>
      <c r="D103" s="35" t="n"/>
      <c r="E103" s="35" t="n"/>
      <c r="F103" s="35" t="n"/>
      <c r="G103" s="35" t="n"/>
      <c r="H103" s="36" t="n"/>
    </row>
    <row r="104" ht="30" customHeight="1">
      <c r="B104" s="24" t="inlineStr">
        <is>
          <t>Estimado</t>
        </is>
      </c>
      <c r="C104" s="24" t="inlineStr">
        <is>
          <t>Referencia del equipo para el mercado chileno, sin cotización formal. Puede cambiar al momento de contratar.</t>
        </is>
      </c>
      <c r="D104" s="35" t="n"/>
      <c r="E104" s="35" t="n"/>
      <c r="F104" s="35" t="n"/>
      <c r="G104" s="35" t="n"/>
      <c r="H104" s="36" t="n"/>
    </row>
    <row r="105" ht="30" customHeight="1">
      <c r="B105" s="24" t="inlineStr">
        <is>
          <t>Valorizado</t>
        </is>
      </c>
      <c r="C105" s="24" t="inlineStr">
        <is>
          <t>Costo de referencia del trabajo del equipo a precio de mercado. No genera desembolso.</t>
        </is>
      </c>
      <c r="D105" s="35" t="n"/>
      <c r="E105" s="35" t="n"/>
      <c r="F105" s="35" t="n"/>
      <c r="G105" s="35" t="n"/>
      <c r="H105" s="36" t="n"/>
    </row>
    <row r="106" ht="30" customHeight="1">
      <c r="B106" s="24" t="inlineStr">
        <is>
          <t>Pendiente de cotización</t>
        </is>
      </c>
      <c r="C106" s="24" t="inlineStr">
        <is>
          <t>No hay monto sustentable: se registra en $0 y se incorporará al total cuando exista una cotización o un valor oficial.</t>
        </is>
      </c>
      <c r="D106" s="35" t="n"/>
      <c r="E106" s="35" t="n"/>
      <c r="F106" s="35" t="n"/>
      <c r="G106" s="35" t="n"/>
      <c r="H106" s="36" t="n"/>
    </row>
    <row r="107" ht="30" customHeight="1">
      <c r="B107" s="24" t="inlineStr">
        <is>
          <t>Pendiente de confirmación</t>
        </is>
      </c>
      <c r="C107" s="24" t="inlineStr">
        <is>
          <t>Falta validar la exigibilidad, la aplicabilidad o la cifra antes de comprometer un gasto.</t>
        </is>
      </c>
      <c r="D107" s="35" t="n"/>
      <c r="E107" s="35" t="n"/>
      <c r="F107" s="35" t="n"/>
      <c r="G107" s="35" t="n"/>
      <c r="H107" s="36" t="n"/>
    </row>
    <row r="108" ht="30" customHeight="1">
      <c r="B108" s="24" t="inlineStr">
        <is>
          <t>Fuera del MVP</t>
        </is>
      </c>
      <c r="C108" s="24" t="inlineStr">
        <is>
          <t>Concepto identificado y modelado como negocio proyectado, pero no activo en esta versión.</t>
        </is>
      </c>
      <c r="D108" s="35" t="n"/>
      <c r="E108" s="35" t="n"/>
      <c r="F108" s="35" t="n"/>
      <c r="G108" s="35" t="n"/>
      <c r="H108" s="36" t="n"/>
    </row>
  </sheetData>
  <mergeCells count="55">
    <mergeCell ref="C103:H103"/>
    <mergeCell ref="D9:G9"/>
    <mergeCell ref="B49:E49"/>
    <mergeCell ref="B74:H74"/>
    <mergeCell ref="D12:G12"/>
    <mergeCell ref="D8:G8"/>
    <mergeCell ref="B65:H65"/>
    <mergeCell ref="C91:F91"/>
    <mergeCell ref="B22:C22"/>
    <mergeCell ref="B55:E55"/>
    <mergeCell ref="C105:H105"/>
    <mergeCell ref="B51:E51"/>
    <mergeCell ref="B5:H5"/>
    <mergeCell ref="B45:E45"/>
    <mergeCell ref="B79:E79"/>
    <mergeCell ref="B35:E35"/>
    <mergeCell ref="B50:E50"/>
    <mergeCell ref="B26:H26"/>
    <mergeCell ref="C96:F96"/>
    <mergeCell ref="B4:H4"/>
    <mergeCell ref="B54:E54"/>
    <mergeCell ref="C92:F92"/>
    <mergeCell ref="B47:H47"/>
    <mergeCell ref="B72:E72"/>
    <mergeCell ref="C106:H106"/>
    <mergeCell ref="D10:G10"/>
    <mergeCell ref="B3:H3"/>
    <mergeCell ref="B64:G64"/>
    <mergeCell ref="B81:H81"/>
    <mergeCell ref="C89:F89"/>
    <mergeCell ref="C98:F98"/>
    <mergeCell ref="C97:F97"/>
    <mergeCell ref="D6:G6"/>
    <mergeCell ref="B52:E52"/>
    <mergeCell ref="C102:H102"/>
    <mergeCell ref="B48:E48"/>
    <mergeCell ref="B86:E86"/>
    <mergeCell ref="B2:H2"/>
    <mergeCell ref="C94:F94"/>
    <mergeCell ref="D11:G11"/>
    <mergeCell ref="C93:F93"/>
    <mergeCell ref="C99:F99"/>
    <mergeCell ref="C108:H108"/>
    <mergeCell ref="B101:H101"/>
    <mergeCell ref="B14:H14"/>
    <mergeCell ref="C107:H107"/>
    <mergeCell ref="B53:E53"/>
    <mergeCell ref="B1:H1"/>
    <mergeCell ref="B57:H57"/>
    <mergeCell ref="B88:H88"/>
    <mergeCell ref="C104:H104"/>
    <mergeCell ref="C90:F90"/>
    <mergeCell ref="D7:G7"/>
    <mergeCell ref="C95:F95"/>
    <mergeCell ref="B37:H37"/>
  </mergeCells>
  <pageMargins left="0.25" right="0.25" top="0.75" bottom="0.75" header="0.3" footer="0.3"/>
  <pageSetup orientation="portrait" scale="4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H107"/>
  <sheetViews>
    <sheetView showGridLines="0" topLeftCell="A24" zoomScaleNormal="100" workbookViewId="0">
      <selection activeCell="B63" sqref="B63:G63"/>
    </sheetView>
  </sheetViews>
  <sheetFormatPr baseColWidth="10" defaultColWidth="8.7109375" defaultRowHeight="15"/>
  <cols>
    <col width="3" customWidth="1" min="1" max="1"/>
    <col width="46" customWidth="1" min="2" max="2"/>
    <col width="22" customWidth="1" min="3" max="3"/>
    <col width="12" customWidth="1" min="4" max="4"/>
    <col width="16" customWidth="1" min="5" max="5"/>
    <col width="18" customWidth="1" min="6" max="6"/>
    <col width="52" customWidth="1" min="7" max="7"/>
    <col width="22" customWidth="1" min="8" max="8"/>
  </cols>
  <sheetData>
    <row r="1" ht="18.75" customHeight="1">
      <c r="B1" s="31" t="inlineStr">
        <is>
          <t>PRESUPUESTO ESTIMADO – ESCENARIO MEDIO – PLAN DE COSTOS</t>
        </is>
      </c>
    </row>
    <row r="2">
      <c r="B2" s="32" t="inlineStr">
        <is>
          <t>CuTuCo (Cultiva Tu Compra) – Marketplace SaaS B2B2C | Duoc UC Plaza Norte – Ingeniería en Informática</t>
        </is>
      </c>
    </row>
    <row r="3">
      <c r="B3" s="33" t="inlineStr">
        <is>
          <t>Duración: 13 semanas (11/09/2026 – 10/12/2026) | Equipo: Vicente Rivera e Ignacio Fuenzalida | Moneda: pesos chilenos (CLP)</t>
        </is>
      </c>
    </row>
    <row r="4" ht="30" customHeight="1">
      <c r="B4" s="34" t="inlineStr">
        <is>
          <t>Opción A reforzada: planes pagados en Supabase, Vercel y Cloud Run (sin depender de créditos), más horas de QA y asesoría legal básica.</t>
        </is>
      </c>
    </row>
    <row r="5" ht="15" customHeight="1">
      <c r="B5" s="26" t="inlineStr">
        <is>
          <t>SUPUESTOS (celdas azules con fondo amarillo = editables)</t>
        </is>
      </c>
      <c r="C5" s="35" t="n"/>
      <c r="D5" s="35" t="n"/>
      <c r="E5" s="35" t="n"/>
      <c r="F5" s="35" t="n"/>
      <c r="G5" s="35" t="n"/>
      <c r="H5" s="36" t="n"/>
    </row>
    <row r="6" ht="19.5" customHeight="1">
      <c r="B6" s="24" t="inlineStr">
        <is>
          <t>Tipo de cambio (CLP por USD)</t>
        </is>
      </c>
      <c r="C6" s="4" t="n">
        <v>950</v>
      </c>
      <c r="D6" s="30" t="inlineStr">
        <is>
          <t>Supuesto del equipo; ajustar al valor del día de pago.</t>
        </is>
      </c>
      <c r="E6" s="35" t="n"/>
      <c r="F6" s="35" t="n"/>
      <c r="G6" s="36" t="n"/>
    </row>
    <row r="7" ht="19.5" customHeight="1">
      <c r="B7" s="24" t="inlineStr">
        <is>
          <t>Duración del proyecto (meses)</t>
        </is>
      </c>
      <c r="C7" s="5" t="n">
        <v>3</v>
      </c>
      <c r="D7" s="30" t="inlineStr">
        <is>
          <t>13 semanas ≈ 3 meses.</t>
        </is>
      </c>
      <c r="E7" s="35" t="n"/>
      <c r="F7" s="35" t="n"/>
      <c r="G7" s="36" t="n"/>
    </row>
    <row r="8" ht="19.5" customHeight="1">
      <c r="B8" s="24" t="inlineStr">
        <is>
          <t>Semanas de trabajo</t>
        </is>
      </c>
      <c r="C8" s="5" t="n">
        <v>13</v>
      </c>
      <c r="D8" s="30" t="inlineStr">
        <is>
          <t>Acta de Constitución: semanas 1 a 13.</t>
        </is>
      </c>
      <c r="E8" s="35" t="n"/>
      <c r="F8" s="35" t="n"/>
      <c r="G8" s="36" t="n"/>
    </row>
    <row r="9" ht="19.5" customHeight="1">
      <c r="B9" s="24" t="inlineStr">
        <is>
          <t>Horas por semana por integrante</t>
        </is>
      </c>
      <c r="C9" s="5" t="n">
        <v>24</v>
      </c>
      <c r="D9" s="30" t="inlineStr">
        <is>
          <t>Dedicación estimada compatible con la carga académica.</t>
        </is>
      </c>
      <c r="E9" s="35" t="n"/>
      <c r="F9" s="35" t="n"/>
      <c r="G9" s="36" t="n"/>
    </row>
    <row r="10" ht="19.5" customHeight="1">
      <c r="B10" s="24" t="inlineStr">
        <is>
          <t>Contingencia sobre el subtotal</t>
        </is>
      </c>
      <c r="C10" s="6" t="n">
        <v>0.15</v>
      </c>
      <c r="D10" s="30" t="inlineStr">
        <is>
          <t>Mayor reserva por servicios pagados y más horas de pruebas.</t>
        </is>
      </c>
      <c r="E10" s="35" t="n"/>
      <c r="F10" s="35" t="n"/>
      <c r="G10" s="36" t="n"/>
    </row>
    <row r="11" ht="19.5" customHeight="1">
      <c r="B11" s="24" t="inlineStr">
        <is>
          <t>Valor de un notebook propio (CLP)</t>
        </is>
      </c>
      <c r="C11" s="4" t="n">
        <v>800000</v>
      </c>
      <c r="D11" s="30" t="inlineStr">
        <is>
          <t>Estimación de mercado Chile.</t>
        </is>
      </c>
      <c r="E11" s="35" t="n"/>
      <c r="F11" s="35" t="n"/>
      <c r="G11" s="36" t="n"/>
    </row>
    <row r="12" ht="19.5" customHeight="1">
      <c r="B12" s="24" t="inlineStr">
        <is>
          <t>Vida útil del notebook (meses)</t>
        </is>
      </c>
      <c r="C12" s="5" t="n">
        <v>36</v>
      </c>
      <c r="D12" s="30" t="inlineStr">
        <is>
          <t>Depreciación lineal.</t>
        </is>
      </c>
      <c r="E12" s="35" t="n"/>
      <c r="F12" s="35" t="n"/>
      <c r="G12" s="36" t="n"/>
    </row>
    <row r="13">
      <c r="B13" s="37" t="inlineStr">
        <is>
          <t>Estado de cada monto: la leyenda completa está en la sección 10, al final de la hoja.</t>
        </is>
      </c>
      <c r="C13" s="7" t="n"/>
      <c r="D13" s="7" t="n"/>
      <c r="E13" s="7" t="n"/>
      <c r="F13" s="7" t="n"/>
      <c r="G13" s="7" t="n"/>
    </row>
    <row r="14" ht="15" customHeight="1">
      <c r="B14" s="26" t="inlineStr">
        <is>
          <t>1. RECURSO HUMANO (valorizado a precio de mercado; no es desembolso)</t>
        </is>
      </c>
      <c r="C14" s="35" t="n"/>
      <c r="D14" s="35" t="n"/>
      <c r="E14" s="35" t="n"/>
      <c r="F14" s="35" t="n"/>
      <c r="G14" s="35" t="n"/>
      <c r="H14" s="36" t="n"/>
    </row>
    <row r="15" ht="30" customHeight="1">
      <c r="B15" s="26" t="inlineStr">
        <is>
          <t>Rol</t>
        </is>
      </c>
      <c r="C15" s="26" t="inlineStr">
        <is>
          <t>Responsable</t>
        </is>
      </c>
      <c r="D15" s="26" t="inlineStr">
        <is>
          <t>Horas</t>
        </is>
      </c>
      <c r="E15" s="26" t="inlineStr">
        <is>
          <t>Valor hora (CLP)</t>
        </is>
      </c>
      <c r="F15" s="26" t="inlineStr">
        <is>
          <t>Costo (CLP)</t>
        </is>
      </c>
      <c r="G15" s="26" t="inlineStr">
        <is>
          <t>Observación</t>
        </is>
      </c>
      <c r="H15" s="26" t="inlineStr">
        <is>
          <t>Estado</t>
        </is>
      </c>
    </row>
    <row r="16" ht="30" customHeight="1">
      <c r="B16" s="24" t="inlineStr">
        <is>
          <t>Jefe de Proyecto (JP)</t>
        </is>
      </c>
      <c r="C16" s="24" t="inlineStr">
        <is>
          <t>Vicente Rivera</t>
        </is>
      </c>
      <c r="D16" s="8" t="n">
        <v>55</v>
      </c>
      <c r="E16" s="9" t="n">
        <v>13388</v>
      </c>
      <c r="F16" s="10">
        <f>D16*E16</f>
        <v/>
      </c>
      <c r="G16" s="24" t="inlineStr">
        <is>
          <t>Costo empresa $2.142.000 / 160 h. Gestión, control y coordinación.</t>
        </is>
      </c>
      <c r="H16" s="24" t="inlineStr">
        <is>
          <t>Valorizado</t>
        </is>
      </c>
    </row>
    <row r="17" ht="30" customHeight="1">
      <c r="B17" s="24" t="inlineStr">
        <is>
          <t>Arquitecto de Software (ASW)</t>
        </is>
      </c>
      <c r="C17" s="24" t="inlineStr">
        <is>
          <t>Vicente Rivera</t>
        </is>
      </c>
      <c r="D17" s="8" t="n">
        <v>55</v>
      </c>
      <c r="E17" s="9" t="n">
        <v>11156</v>
      </c>
      <c r="F17" s="10">
        <f>D17*E17</f>
        <v/>
      </c>
      <c r="G17" s="24" t="inlineStr">
        <is>
          <t>Costo empresa $1.785.000 / 160 h. Arquitectura y despliegue.</t>
        </is>
      </c>
      <c r="H17" s="24" t="inlineStr">
        <is>
          <t>Valorizado</t>
        </is>
      </c>
    </row>
    <row r="18" ht="30" customHeight="1">
      <c r="B18" s="24" t="inlineStr">
        <is>
          <t>Administrador de BBDD (DBA)</t>
        </is>
      </c>
      <c r="C18" s="24" t="inlineStr">
        <is>
          <t>Vicente Rivera</t>
        </is>
      </c>
      <c r="D18" s="8" t="n">
        <v>55</v>
      </c>
      <c r="E18" s="9" t="n">
        <v>10041</v>
      </c>
      <c r="F18" s="10">
        <f>D18*E18</f>
        <v/>
      </c>
      <c r="G18" s="24" t="inlineStr">
        <is>
          <t>Costo empresa $1.606.500 / 160 h. PostgreSQL, RLS y scripts.</t>
        </is>
      </c>
      <c r="H18" s="24" t="inlineStr">
        <is>
          <t>Valorizado</t>
        </is>
      </c>
    </row>
    <row r="19" ht="30" customHeight="1">
      <c r="B19" s="24" t="inlineStr">
        <is>
          <t>Programador Full Stack 1 – Backend (PFS 1)</t>
        </is>
      </c>
      <c r="C19" s="24" t="inlineStr">
        <is>
          <t>Vicente Rivera</t>
        </is>
      </c>
      <c r="D19" s="8" t="n">
        <v>135</v>
      </c>
      <c r="E19" s="9" t="n">
        <v>7438</v>
      </c>
      <c r="F19" s="10">
        <f>D19*E19</f>
        <v/>
      </c>
      <c r="G19" s="24" t="inlineStr">
        <is>
          <t>Costo empresa $1.190.000 / 160 h. FastAPI, pagos y correos.</t>
        </is>
      </c>
      <c r="H19" s="24" t="inlineStr">
        <is>
          <t>Valorizado</t>
        </is>
      </c>
    </row>
    <row r="20" ht="30" customHeight="1">
      <c r="B20" s="24" t="inlineStr">
        <is>
          <t>Analista de Procesos (AP)</t>
        </is>
      </c>
      <c r="C20" s="24" t="inlineStr">
        <is>
          <t>Ignacio Fuenzalida</t>
        </is>
      </c>
      <c r="D20" s="8" t="n">
        <v>70</v>
      </c>
      <c r="E20" s="9" t="n">
        <v>5950</v>
      </c>
      <c r="F20" s="10">
        <f>D20*E20</f>
        <v/>
      </c>
      <c r="G20" s="24" t="inlineStr">
        <is>
          <t>Costo empresa $952.000 / 160 h. ERS, mockups y pruebas.</t>
        </is>
      </c>
      <c r="H20" s="24" t="inlineStr">
        <is>
          <t>Valorizado</t>
        </is>
      </c>
    </row>
    <row r="21" ht="30" customHeight="1">
      <c r="B21" s="24" t="inlineStr">
        <is>
          <t>Programador Full Stack 2 – Frontend (PFS 2)</t>
        </is>
      </c>
      <c r="C21" s="24" t="inlineStr">
        <is>
          <t>Ignacio Fuenzalida</t>
        </is>
      </c>
      <c r="D21" s="8" t="n">
        <v>230</v>
      </c>
      <c r="E21" s="9" t="n">
        <v>9669</v>
      </c>
      <c r="F21" s="10">
        <f>D21*E21</f>
        <v/>
      </c>
      <c r="G21" s="24" t="inlineStr">
        <is>
          <t>Costo empresa $1.547.000 / 160 h. Vue.js + Vite.</t>
        </is>
      </c>
      <c r="H21" s="24" t="inlineStr">
        <is>
          <t>Valorizado</t>
        </is>
      </c>
    </row>
    <row r="22" ht="30" customHeight="1">
      <c r="B22" s="29" t="inlineStr">
        <is>
          <t>Subtotal recurso humano</t>
        </is>
      </c>
      <c r="C22" s="36" t="n"/>
      <c r="D22" s="11">
        <f>SUM(D16:D21)</f>
        <v/>
      </c>
      <c r="E22" s="12" t="n"/>
      <c r="F22" s="13">
        <f>SUM(F16:F21)</f>
        <v/>
      </c>
      <c r="G22" s="14" t="inlineStr">
        <is>
          <t>Valor hora tomado de la tabla de roles del Acta (talent.com).</t>
        </is>
      </c>
    </row>
    <row r="23" ht="30" customHeight="1">
      <c r="B23" s="30" t="inlineStr">
        <is>
          <t>Control de horas: Vicente Rivera</t>
        </is>
      </c>
      <c r="C23" s="30" t="inlineStr">
        <is>
          <t>Asignadas / disponibles</t>
        </is>
      </c>
      <c r="D23" s="15">
        <f>SUMIF($C$16:$C$21,"Vicente Rivera",$D$16:$D$21)</f>
        <v/>
      </c>
      <c r="E23" s="15">
        <f>$C$8*$C$9</f>
        <v/>
      </c>
      <c r="F23" s="16">
        <f>IF(D23&lt;=E23,"OK","Excede")</f>
        <v/>
      </c>
      <c r="G23" s="30" t="inlineStr">
        <is>
          <t>Las horas asignadas no deben superar las disponibles.</t>
        </is>
      </c>
    </row>
    <row r="24" ht="30" customHeight="1">
      <c r="B24" s="30" t="inlineStr">
        <is>
          <t>Control de horas: Ignacio Fuenzalida</t>
        </is>
      </c>
      <c r="C24" s="30" t="inlineStr">
        <is>
          <t>Asignadas / disponibles</t>
        </is>
      </c>
      <c r="D24" s="15">
        <f>SUMIF($C$16:$C$21,"Ignacio Fuenzalida",$D$16:$D$21)</f>
        <v/>
      </c>
      <c r="E24" s="15">
        <f>$C$8*$C$9</f>
        <v/>
      </c>
      <c r="F24" s="16">
        <f>IF(D24&lt;=E24,"OK","Excede")</f>
        <v/>
      </c>
      <c r="G24" s="30" t="inlineStr">
        <is>
          <t>Las horas asignadas no deben superar las disponibles.</t>
        </is>
      </c>
    </row>
    <row r="25" ht="30" customHeight="1">
      <c r="B25" s="7" t="n"/>
      <c r="C25" s="7" t="n"/>
      <c r="D25" s="7" t="n"/>
      <c r="E25" s="7" t="n"/>
      <c r="F25" s="7" t="n"/>
      <c r="G25" s="7" t="n"/>
    </row>
    <row r="26" ht="30" customHeight="1">
      <c r="B26" s="26" t="inlineStr">
        <is>
          <t>2. INFRAESTRUCTURA Y SERVICIOS – OPCIÓN A CON PLANES PAGADOS</t>
        </is>
      </c>
      <c r="C26" s="35" t="n"/>
      <c r="D26" s="35" t="n"/>
      <c r="E26" s="35" t="n"/>
      <c r="F26" s="35" t="n"/>
      <c r="G26" s="35" t="n"/>
      <c r="H26" s="36" t="n"/>
    </row>
    <row r="27" ht="30" customHeight="1">
      <c r="B27" s="26" t="inlineStr">
        <is>
          <t>Servicio</t>
        </is>
      </c>
      <c r="C27" s="26" t="inlineStr">
        <is>
          <t>Uso en CuTuCo</t>
        </is>
      </c>
      <c r="D27" s="26" t="inlineStr">
        <is>
          <t>Cantidad</t>
        </is>
      </c>
      <c r="E27" s="26" t="inlineStr">
        <is>
          <t>Valor unit. (USD)</t>
        </is>
      </c>
      <c r="F27" s="26" t="inlineStr">
        <is>
          <t>Costo (CLP)</t>
        </is>
      </c>
      <c r="G27" s="26" t="inlineStr">
        <is>
          <t>Observación</t>
        </is>
      </c>
      <c r="H27" s="26" t="inlineStr">
        <is>
          <t>Estado</t>
        </is>
      </c>
    </row>
    <row r="28" ht="30" customHeight="1">
      <c r="B28" s="24" t="inlineStr">
        <is>
          <t>Dominio web (.cl / .com)</t>
        </is>
      </c>
      <c r="C28" s="24" t="inlineStr">
        <is>
          <t>Acceso público</t>
        </is>
      </c>
      <c r="D28" s="17" t="n">
        <v>1</v>
      </c>
      <c r="E28" s="18" t="n">
        <v>15</v>
      </c>
      <c r="F28" s="10">
        <f>D28*E28*$C$6</f>
        <v/>
      </c>
      <c r="G28" s="24" t="inlineStr">
        <is>
          <t>Cantidad en años. Estimación de mercado.</t>
        </is>
      </c>
      <c r="H28" s="24" t="inlineStr">
        <is>
          <t>Estimado</t>
        </is>
      </c>
    </row>
    <row r="29" ht="30" customHeight="1">
      <c r="B29" s="24" t="inlineStr">
        <is>
          <t>Vercel Pro</t>
        </is>
      </c>
      <c r="C29" s="24" t="inlineStr">
        <is>
          <t>Frontend Vue.js + Vite</t>
        </is>
      </c>
      <c r="D29" s="17" t="n">
        <v>3</v>
      </c>
      <c r="E29" s="18" t="n">
        <v>20</v>
      </c>
      <c r="F29" s="10">
        <f>D29*E29*$C$6</f>
        <v/>
      </c>
      <c r="G29" s="24" t="inlineStr">
        <is>
          <t>Cantidad en meses. USD 20 por usuario al mes (1 usuario).</t>
        </is>
      </c>
      <c r="H29" s="24" t="inlineStr">
        <is>
          <t>Estimado</t>
        </is>
      </c>
    </row>
    <row r="30" ht="30" customHeight="1">
      <c r="B30" s="24" t="inlineStr">
        <is>
          <t>Supabase Pro</t>
        </is>
      </c>
      <c r="C30" s="24" t="inlineStr">
        <is>
          <t>PostgreSQL, Auth, PostgREST, Storage</t>
        </is>
      </c>
      <c r="D30" s="17" t="n">
        <v>3</v>
      </c>
      <c r="E30" s="18" t="n">
        <v>25</v>
      </c>
      <c r="F30" s="10">
        <f>D30*E30*$C$6</f>
        <v/>
      </c>
      <c r="G30" s="24" t="inlineStr">
        <is>
          <t>Cantidad en meses. Incluye respaldos diarios.</t>
        </is>
      </c>
      <c r="H30" s="24" t="inlineStr">
        <is>
          <t>Estimado</t>
        </is>
      </c>
    </row>
    <row r="31" ht="30" customHeight="1">
      <c r="B31" s="24" t="inlineStr">
        <is>
          <t>GCP Cloud Run + Secret Manager</t>
        </is>
      </c>
      <c r="C31" s="24" t="inlineStr">
        <is>
          <t>FastAPI + Docker (us-central1)</t>
        </is>
      </c>
      <c r="D31" s="17" t="n">
        <v>3</v>
      </c>
      <c r="E31" s="18" t="n">
        <v>15</v>
      </c>
      <c r="F31" s="10">
        <f>D31*E31*$C$6</f>
        <v/>
      </c>
      <c r="G31" s="24" t="inlineStr">
        <is>
          <t>Cantidad en meses. Consumo estimado sin créditos GCP.</t>
        </is>
      </c>
      <c r="H31" s="24" t="inlineStr">
        <is>
          <t>Estimado</t>
        </is>
      </c>
    </row>
    <row r="32" ht="30" customHeight="1">
      <c r="B32" s="24" t="inlineStr">
        <is>
          <t>Resend</t>
        </is>
      </c>
      <c r="C32" s="24" t="inlineStr">
        <is>
          <t>Correos de Auth (SMTP) y de negocio (API)</t>
        </is>
      </c>
      <c r="D32" s="17" t="n">
        <v>3</v>
      </c>
      <c r="E32" s="18" t="n">
        <v>0</v>
      </c>
      <c r="F32" s="10">
        <f>D32*E32*$C$6</f>
        <v/>
      </c>
      <c r="G32" s="24" t="inlineStr">
        <is>
          <t>Cantidad en meses. Nivel gratuito (hasta 3.000 correos/mes).</t>
        </is>
      </c>
      <c r="H32" s="24" t="inlineStr">
        <is>
          <t>Confirmado</t>
        </is>
      </c>
    </row>
    <row r="33" ht="30" customHeight="1">
      <c r="B33" s="24" t="inlineStr">
        <is>
          <t>Transbank Webpay Mall Test</t>
        </is>
      </c>
      <c r="C33" s="24" t="inlineStr">
        <is>
          <t>Pagos en ambiente de integración</t>
        </is>
      </c>
      <c r="D33" s="17" t="n">
        <v>3</v>
      </c>
      <c r="E33" s="18" t="n">
        <v>0</v>
      </c>
      <c r="F33" s="10">
        <f>D33*E33*$C$6</f>
        <v/>
      </c>
      <c r="G33" s="24" t="inlineStr">
        <is>
          <t>Ambiente de pruebas sin costo.</t>
        </is>
      </c>
      <c r="H33" s="24" t="inlineStr">
        <is>
          <t>Confirmado</t>
        </is>
      </c>
    </row>
    <row r="34" ht="30" customHeight="1">
      <c r="B34" s="24" t="inlineStr">
        <is>
          <t>GitHub + GitHub Actions</t>
        </is>
      </c>
      <c r="C34" s="24" t="inlineStr">
        <is>
          <t>Repositorio y CI/CD</t>
        </is>
      </c>
      <c r="D34" s="17" t="n">
        <v>3</v>
      </c>
      <c r="E34" s="18" t="n">
        <v>0</v>
      </c>
      <c r="F34" s="10">
        <f>D34*E34*$C$6</f>
        <v/>
      </c>
      <c r="G34" s="24" t="inlineStr">
        <is>
          <t>Cantidad en meses. Plan gratuito.</t>
        </is>
      </c>
      <c r="H34" s="24" t="inlineStr">
        <is>
          <t>Confirmado</t>
        </is>
      </c>
    </row>
    <row r="35" ht="30" customHeight="1">
      <c r="B35" s="29" t="inlineStr">
        <is>
          <t>Subtotal infraestructura (desembolso)</t>
        </is>
      </c>
      <c r="C35" s="35" t="n"/>
      <c r="D35" s="35" t="n"/>
      <c r="E35" s="36" t="n"/>
      <c r="F35" s="13">
        <f>SUM(F28:F34)</f>
        <v/>
      </c>
      <c r="G35" s="14" t="inlineStr">
        <is>
          <t>Costo mensual aproximado de USD 60 más el dominio.</t>
        </is>
      </c>
    </row>
    <row r="36" ht="30" customHeight="1">
      <c r="B36" s="7" t="n"/>
      <c r="C36" s="7" t="n"/>
      <c r="D36" s="7" t="n"/>
      <c r="E36" s="7" t="n"/>
      <c r="F36" s="7" t="n"/>
      <c r="G36" s="7" t="n"/>
    </row>
    <row r="37" ht="30" customHeight="1">
      <c r="B37" s="26" t="inlineStr">
        <is>
          <t>3. OTROS COSTOS DEL PROYECTO</t>
        </is>
      </c>
      <c r="C37" s="35" t="n"/>
      <c r="D37" s="35" t="n"/>
      <c r="E37" s="35" t="n"/>
      <c r="F37" s="35" t="n"/>
      <c r="G37" s="35" t="n"/>
      <c r="H37" s="36" t="n"/>
    </row>
    <row r="38" ht="30" customHeight="1">
      <c r="B38" s="26" t="inlineStr">
        <is>
          <t>Concepto</t>
        </is>
      </c>
      <c r="C38" s="26" t="inlineStr">
        <is>
          <t>Detalle</t>
        </is>
      </c>
      <c r="D38" s="26" t="inlineStr">
        <is>
          <t>Cantidad</t>
        </is>
      </c>
      <c r="E38" s="26" t="inlineStr">
        <is>
          <t>Valor unit. (CLP)</t>
        </is>
      </c>
      <c r="F38" s="26" t="inlineStr">
        <is>
          <t>Costo (CLP)</t>
        </is>
      </c>
      <c r="G38" s="26" t="inlineStr">
        <is>
          <t>Observación</t>
        </is>
      </c>
      <c r="H38" s="26" t="inlineStr">
        <is>
          <t>Estado</t>
        </is>
      </c>
    </row>
    <row r="39" ht="30" customHeight="1">
      <c r="B39" s="24" t="inlineStr">
        <is>
          <t>Internet y electricidad (trabajo remoto)</t>
        </is>
      </c>
      <c r="C39" s="24" t="inlineStr">
        <is>
          <t>Persona-mes</t>
        </is>
      </c>
      <c r="D39" s="19">
        <f>2*$C$7</f>
        <v/>
      </c>
      <c r="E39" s="9" t="n">
        <v>30000</v>
      </c>
      <c r="F39" s="10">
        <f>D39*E39</f>
        <v/>
      </c>
      <c r="G39" s="24" t="inlineStr">
        <is>
          <t>Supuesto: $30.000 mensuales por integrante.</t>
        </is>
      </c>
      <c r="H39" s="24" t="inlineStr">
        <is>
          <t>Estimado</t>
        </is>
      </c>
    </row>
    <row r="40" ht="30" customHeight="1">
      <c r="B40" s="24" t="inlineStr">
        <is>
          <t>Depreciación de notebooks propios</t>
        </is>
      </c>
      <c r="C40" s="24" t="inlineStr">
        <is>
          <t>Equipo-mes</t>
        </is>
      </c>
      <c r="D40" s="19">
        <f>2*$C$7</f>
        <v/>
      </c>
      <c r="E40" s="10">
        <f>ROUND($C$11/$C$12,0)</f>
        <v/>
      </c>
      <c r="F40" s="10">
        <f>D40*E40</f>
        <v/>
      </c>
      <c r="G40" s="24" t="inlineStr">
        <is>
          <t>Valor del equipo / vida útil. No se compran equipos nuevos.</t>
        </is>
      </c>
      <c r="H40" s="24" t="inlineStr">
        <is>
          <t>Estimado</t>
        </is>
      </c>
    </row>
    <row r="41" ht="30" customHeight="1">
      <c r="B41" s="24" t="inlineStr">
        <is>
          <t>Impresión y material de la presentación final</t>
        </is>
      </c>
      <c r="C41" s="24" t="inlineStr">
        <is>
          <t>Global</t>
        </is>
      </c>
      <c r="D41" s="17" t="n">
        <v>1</v>
      </c>
      <c r="E41" s="9" t="n">
        <v>40000</v>
      </c>
      <c r="F41" s="10">
        <f>D41*E41</f>
        <v/>
      </c>
      <c r="G41" s="24" t="inlineStr">
        <is>
          <t>Supuesto del equipo.</t>
        </is>
      </c>
      <c r="H41" s="24" t="inlineStr">
        <is>
          <t>Estimado</t>
        </is>
      </c>
    </row>
    <row r="42" ht="30" customHeight="1">
      <c r="B42" s="24" t="inlineStr">
        <is>
          <t>Herramientas de desarrollo y diseño</t>
        </is>
      </c>
      <c r="C42" s="24" t="inlineStr">
        <is>
          <t>Figma Professional (2 licencias)</t>
        </is>
      </c>
      <c r="D42" s="17" t="n">
        <v>6</v>
      </c>
      <c r="E42" s="9" t="n">
        <v>14250</v>
      </c>
      <c r="F42" s="10">
        <f>D42*E42</f>
        <v/>
      </c>
      <c r="G42" s="24" t="inlineStr">
        <is>
          <t>Cantidad en licencias-mes. USD 15 por licencia (a $950).</t>
        </is>
      </c>
      <c r="H42" s="24" t="inlineStr">
        <is>
          <t>Estimado</t>
        </is>
      </c>
    </row>
    <row r="43" ht="30" customHeight="1">
      <c r="B43" s="24" t="inlineStr">
        <is>
          <t>Asesoría legal básica</t>
        </is>
      </c>
      <c r="C43" s="24" t="inlineStr">
        <is>
          <t>Términos y condiciones, privacidad</t>
        </is>
      </c>
      <c r="D43" s="17" t="n">
        <v>1</v>
      </c>
      <c r="E43" s="9" t="n">
        <v>150000</v>
      </c>
      <c r="F43" s="10">
        <f>D43*E43</f>
        <v/>
      </c>
      <c r="G43" s="24" t="inlineStr">
        <is>
          <t>Revisión única; marketplace con datos personales y bancarios.</t>
        </is>
      </c>
      <c r="H43" s="24" t="inlineStr">
        <is>
          <t>Estimado</t>
        </is>
      </c>
    </row>
    <row r="44" ht="30" customHeight="1">
      <c r="B44" s="29" t="inlineStr">
        <is>
          <t>Subtotal otros costos (desembolso)</t>
        </is>
      </c>
      <c r="C44" s="35" t="n"/>
      <c r="D44" s="35" t="n"/>
      <c r="E44" s="36" t="n"/>
      <c r="F44" s="13">
        <f>SUM(F39:F43)</f>
        <v/>
      </c>
      <c r="G44" s="12" t="n"/>
    </row>
    <row r="45" ht="30" customHeight="1">
      <c r="B45" s="7" t="n"/>
      <c r="C45" s="7" t="n"/>
      <c r="D45" s="7" t="n"/>
      <c r="E45" s="7" t="n"/>
      <c r="F45" s="7" t="n"/>
      <c r="G45" s="7" t="n"/>
    </row>
    <row r="46" ht="30" customHeight="1">
      <c r="B46" s="26" t="inlineStr">
        <is>
          <t>4. RESUMEN DEL PRESUPUESTO ESTIMADO</t>
        </is>
      </c>
      <c r="C46" s="35" t="n"/>
      <c r="D46" s="35" t="n"/>
      <c r="E46" s="35" t="n"/>
      <c r="F46" s="35" t="n"/>
      <c r="G46" s="35" t="n"/>
      <c r="H46" s="36" t="n"/>
    </row>
    <row r="47" ht="30" customHeight="1">
      <c r="B47" s="26" t="inlineStr">
        <is>
          <t>Concepto</t>
        </is>
      </c>
      <c r="C47" s="35" t="n"/>
      <c r="D47" s="35" t="n"/>
      <c r="E47" s="36" t="n"/>
      <c r="F47" s="26" t="inlineStr">
        <is>
          <t>Monto (CLP)</t>
        </is>
      </c>
      <c r="G47" s="26" t="inlineStr">
        <is>
          <t>Observación</t>
        </is>
      </c>
    </row>
    <row r="48" ht="30" customHeight="1">
      <c r="B48" s="24" t="inlineStr">
        <is>
          <t>Desembolso en efectivo (infraestructura + otros costos)</t>
        </is>
      </c>
      <c r="C48" s="35" t="n"/>
      <c r="D48" s="35" t="n"/>
      <c r="E48" s="36" t="n"/>
      <c r="F48" s="10">
        <f>F35+F44+F71</f>
        <v/>
      </c>
      <c r="G48" s="30" t="inlineStr">
        <is>
          <t>Dinero que realmente se paga. Incluye los trámites de la sección 6, hoy registrados en $0 por falta de cotización.</t>
        </is>
      </c>
    </row>
    <row r="49" ht="30" customHeight="1">
      <c r="B49" s="24" t="inlineStr">
        <is>
          <t>Recurso humano valorizado</t>
        </is>
      </c>
      <c r="C49" s="35" t="n"/>
      <c r="D49" s="35" t="n"/>
      <c r="E49" s="36" t="n"/>
      <c r="F49" s="10">
        <f>F22</f>
        <v/>
      </c>
      <c r="G49" s="30" t="inlineStr">
        <is>
          <t>Referencia de mercado; el equipo no recibe pago.</t>
        </is>
      </c>
    </row>
    <row r="50" ht="30" customHeight="1">
      <c r="B50" s="28" t="inlineStr">
        <is>
          <t>Subtotal del proyecto</t>
        </is>
      </c>
      <c r="C50" s="35" t="n"/>
      <c r="D50" s="35" t="n"/>
      <c r="E50" s="36" t="n"/>
      <c r="F50" s="20">
        <f>F48+F49</f>
        <v/>
      </c>
      <c r="G50" s="21" t="n"/>
    </row>
    <row r="51" ht="30" customHeight="1">
      <c r="B51" s="24" t="inlineStr">
        <is>
          <t>Contingencia</t>
        </is>
      </c>
      <c r="C51" s="35" t="n"/>
      <c r="D51" s="35" t="n"/>
      <c r="E51" s="36" t="n"/>
      <c r="F51" s="10">
        <f>F50*$C$10</f>
        <v/>
      </c>
      <c r="G51" s="30" t="inlineStr">
        <is>
          <t>Porcentaje definido en los supuestos.</t>
        </is>
      </c>
    </row>
    <row r="52" ht="30" customHeight="1">
      <c r="B52" s="29" t="inlineStr">
        <is>
          <t>TOTAL PRESUPUESTO ESTIMADO</t>
        </is>
      </c>
      <c r="C52" s="35" t="n"/>
      <c r="D52" s="35" t="n"/>
      <c r="E52" s="36" t="n"/>
      <c r="F52" s="13">
        <f>F50+F51</f>
        <v/>
      </c>
      <c r="G52" s="14" t="inlineStr">
        <is>
          <t>Valor total del proyecto.</t>
        </is>
      </c>
    </row>
    <row r="53" ht="30" customHeight="1">
      <c r="B53" s="24" t="inlineStr">
        <is>
          <t>Total presupuesto estimado en USD</t>
        </is>
      </c>
      <c r="C53" s="35" t="n"/>
      <c r="D53" s="35" t="n"/>
      <c r="E53" s="36" t="n"/>
      <c r="F53" s="22">
        <f>F52/$C$6</f>
        <v/>
      </c>
      <c r="G53" s="30" t="inlineStr">
        <is>
          <t>Según el tipo de cambio supuesto.</t>
        </is>
      </c>
    </row>
    <row r="54" ht="30" customHeight="1">
      <c r="B54" s="25" t="inlineStr">
        <is>
          <t>Desembolso en efectivo con contingencia</t>
        </is>
      </c>
      <c r="C54" s="35" t="n"/>
      <c r="D54" s="35" t="n"/>
      <c r="E54" s="36" t="n"/>
      <c r="F54" s="23">
        <f>F48*(1+$C$10)</f>
        <v/>
      </c>
      <c r="G54" s="30" t="inlineStr">
        <is>
          <t>Monto mínimo a tener disponible.</t>
        </is>
      </c>
    </row>
    <row r="55" ht="30" customHeight="1">
      <c r="B55" s="7" t="n"/>
      <c r="C55" s="7" t="n"/>
      <c r="D55" s="7" t="n"/>
      <c r="E55" s="7" t="n"/>
      <c r="F55" s="7" t="n"/>
      <c r="G55" s="7" t="n"/>
    </row>
    <row r="56" ht="30" customHeight="1">
      <c r="B56" s="26" t="inlineStr">
        <is>
          <t>5. PROYECCIÓN ANUAL DE CONTINUIDAD (OPCIÓN B) – REFERENCIAL, NO INCLUIDA EN EL TOTAL</t>
        </is>
      </c>
      <c r="C56" s="35" t="n"/>
      <c r="D56" s="35" t="n"/>
      <c r="E56" s="35" t="n"/>
      <c r="F56" s="35" t="n"/>
      <c r="G56" s="35" t="n"/>
      <c r="H56" s="36" t="n"/>
    </row>
    <row r="57" ht="30" customHeight="1">
      <c r="B57" s="26" t="inlineStr">
        <is>
          <t>Escenario</t>
        </is>
      </c>
      <c r="C57" s="26" t="inlineStr">
        <is>
          <t>Detalle</t>
        </is>
      </c>
      <c r="D57" s="26" t="inlineStr">
        <is>
          <t>Meses</t>
        </is>
      </c>
      <c r="E57" s="26" t="inlineStr">
        <is>
          <t>Valor mensual (USD)</t>
        </is>
      </c>
      <c r="F57" s="26" t="inlineStr">
        <is>
          <t>Costo (CLP)</t>
        </is>
      </c>
      <c r="G57" s="26" t="inlineStr">
        <is>
          <t>Observación</t>
        </is>
      </c>
    </row>
    <row r="58" ht="30" customHeight="1">
      <c r="B58" s="24" t="inlineStr">
        <is>
          <t>Mínimo mensual</t>
        </is>
      </c>
      <c r="C58" s="24" t="inlineStr">
        <is>
          <t>Infraestructura productiva</t>
        </is>
      </c>
      <c r="D58" s="17" t="n">
        <v>1</v>
      </c>
      <c r="E58" s="18" t="n">
        <v>100</v>
      </c>
      <c r="F58" s="10">
        <f>D58*E58*$C$6</f>
        <v/>
      </c>
      <c r="G58" s="24" t="inlineStr">
        <is>
          <t>Rango del informe: USD 100 a 120 al mes.</t>
        </is>
      </c>
    </row>
    <row r="59" ht="30" customHeight="1">
      <c r="B59" s="24" t="inlineStr">
        <is>
          <t>Máximo mensual</t>
        </is>
      </c>
      <c r="C59" s="24" t="inlineStr">
        <is>
          <t>Infraestructura productiva</t>
        </is>
      </c>
      <c r="D59" s="17" t="n">
        <v>1</v>
      </c>
      <c r="E59" s="18" t="n">
        <v>120</v>
      </c>
      <c r="F59" s="10">
        <f>D59*E59*$C$6</f>
        <v/>
      </c>
      <c r="G59" s="24" t="inlineStr">
        <is>
          <t>Rango del informe: USD 100 a 120 al mes.</t>
        </is>
      </c>
    </row>
    <row r="60" ht="30" customHeight="1">
      <c r="B60" s="24" t="inlineStr">
        <is>
          <t>Mínimo anual</t>
        </is>
      </c>
      <c r="C60" s="24" t="inlineStr">
        <is>
          <t>Primer año en producción</t>
        </is>
      </c>
      <c r="D60" s="17" t="n">
        <v>12</v>
      </c>
      <c r="E60" s="18" t="n">
        <v>100</v>
      </c>
      <c r="F60" s="10">
        <f>D60*E60*$C$6</f>
        <v/>
      </c>
      <c r="G60" s="24" t="inlineStr">
        <is>
          <t>Proyección de continuidad.</t>
        </is>
      </c>
    </row>
    <row r="61" ht="30" customHeight="1">
      <c r="B61" s="24" t="inlineStr">
        <is>
          <t>Máximo anual</t>
        </is>
      </c>
      <c r="C61" s="24" t="inlineStr">
        <is>
          <t>Primer año en producción</t>
        </is>
      </c>
      <c r="D61" s="17" t="n">
        <v>12</v>
      </c>
      <c r="E61" s="18" t="n">
        <v>120</v>
      </c>
      <c r="F61" s="10">
        <f>D61*E61*$C$6</f>
        <v/>
      </c>
      <c r="G61" s="24" t="inlineStr">
        <is>
          <t>Más comisiones Webpay por transacción (variables, no incluidas).</t>
        </is>
      </c>
    </row>
    <row r="62" ht="30" customHeight="1">
      <c r="B62" s="7" t="n"/>
      <c r="C62" s="7" t="n"/>
      <c r="D62" s="7" t="n"/>
      <c r="E62" s="7" t="n"/>
      <c r="F62" s="7" t="n"/>
      <c r="G62" s="7" t="n"/>
    </row>
    <row r="63" ht="30" customHeight="1">
      <c r="B63" s="27" t="n"/>
    </row>
    <row r="64" ht="15" customHeight="1">
      <c r="B64" s="26" t="inlineStr">
        <is>
          <t>6. TRÁMITES DE CONSTITUCIÓN, SII Y PATENTE MUNICIPAL – UN REGISTRO POR CONCEPTO (MONTOS NO COTIZADOS)</t>
        </is>
      </c>
      <c r="C64" s="35" t="n"/>
      <c r="D64" s="35" t="n"/>
      <c r="E64" s="35" t="n"/>
      <c r="F64" s="35" t="n"/>
      <c r="G64" s="35" t="n"/>
      <c r="H64" s="36" t="n"/>
    </row>
    <row r="65" ht="30" customHeight="1">
      <c r="B65" s="26" t="inlineStr">
        <is>
          <t>Concepto</t>
        </is>
      </c>
      <c r="C65" s="26" t="inlineStr">
        <is>
          <t>Naturaleza</t>
        </is>
      </c>
      <c r="D65" s="26" t="inlineStr">
        <is>
          <t>Cantidad</t>
        </is>
      </c>
      <c r="E65" s="26" t="inlineStr">
        <is>
          <t>Valor unit. (CLP)</t>
        </is>
      </c>
      <c r="F65" s="26" t="inlineStr">
        <is>
          <t>Costo (CLP)</t>
        </is>
      </c>
      <c r="G65" s="26" t="inlineStr">
        <is>
          <t>Observación</t>
        </is>
      </c>
      <c r="H65" s="26" t="inlineStr">
        <is>
          <t>Estado</t>
        </is>
      </c>
    </row>
    <row r="66" ht="75" customHeight="1">
      <c r="B66" s="24" t="inlineStr">
        <is>
          <t>Constitución de la empresa (EIRL o SpA) y firma ante notario</t>
        </is>
      </c>
      <c r="C66" s="24" t="inlineStr">
        <is>
          <t>Trámite legal y notarial</t>
        </is>
      </c>
      <c r="D66" s="8" t="n">
        <v>1</v>
      </c>
      <c r="E66" s="38" t="n">
        <v>0</v>
      </c>
      <c r="F66" s="10">
        <f>D66*E66</f>
        <v/>
      </c>
      <c r="G66" s="24" t="inlineStr">
        <is>
          <t>Registro único del concepto: no se repite en otras filas de esta planilla ni en el Plan de Calidad y de Costos. Sin monto cotizado: se deja en $0 y el total se recalcula al ingresar el valor unitario.</t>
        </is>
      </c>
      <c r="H66" s="24" t="inlineStr">
        <is>
          <t>Pendiente de cotización</t>
        </is>
      </c>
    </row>
    <row r="67" ht="60" customHeight="1">
      <c r="B67" s="24" t="inlineStr">
        <is>
          <t>Inscripción en el Registro de Empresas y Sociedades</t>
        </is>
      </c>
      <c r="C67" s="24" t="inlineStr">
        <is>
          <t>Trámite legal</t>
        </is>
      </c>
      <c r="D67" s="8" t="n">
        <v>1</v>
      </c>
      <c r="E67" s="38" t="n">
        <v>0</v>
      </c>
      <c r="F67" s="10">
        <f>D67*E67</f>
        <v/>
      </c>
      <c r="G67" s="24" t="inlineStr">
        <is>
          <t>Supuesto a validar: la inscripción en línea no tendría costo directo para el usuario. Confirmar en el sitio del Registro de Empresas y Sociedades antes de usarlo como referencia.</t>
        </is>
      </c>
      <c r="H67" s="24" t="inlineStr">
        <is>
          <t>Pendiente de confirmación</t>
        </is>
      </c>
    </row>
    <row r="68" ht="75" customHeight="1">
      <c r="B68" s="24" t="inlineStr">
        <is>
          <t>Inicio de actividades ante el SII</t>
        </is>
      </c>
      <c r="C68" s="24" t="inlineStr">
        <is>
          <t>Trámite tributario</t>
        </is>
      </c>
      <c r="D68" s="8" t="n">
        <v>1</v>
      </c>
      <c r="E68" s="38" t="n">
        <v>0</v>
      </c>
      <c r="F68" s="10">
        <f>D68*E68</f>
        <v/>
      </c>
      <c r="G68" s="24" t="inlineStr">
        <is>
          <t>Se realiza en línea en el sitio del SII y es requisito para emitir documentos tributarios. Supuesto a validar: no tendría costo directo; si se requiere firma electrónica avanzada, su valor debe cotizarse aparte.</t>
        </is>
      </c>
      <c r="H68" s="24" t="inlineStr">
        <is>
          <t>Pendiente de confirmación</t>
        </is>
      </c>
    </row>
    <row r="69" ht="45" customHeight="1">
      <c r="B69" s="24" t="inlineStr">
        <is>
          <t>Patente municipal (permiso de funcionamiento)</t>
        </is>
      </c>
      <c r="C69" s="24" t="inlineStr">
        <is>
          <t>Trámite municipal</t>
        </is>
      </c>
      <c r="D69" s="8" t="n">
        <v>1</v>
      </c>
      <c r="E69" s="38" t="n">
        <v>0</v>
      </c>
      <c r="F69" s="10">
        <f>D69*E69</f>
        <v/>
      </c>
      <c r="G69" s="24" t="inlineStr">
        <is>
          <t>El valor depende de la comuna y del capital declarado. Debe cotizarse en la municipalidad del domicilio comercial.</t>
        </is>
      </c>
      <c r="H69" s="24" t="inlineStr">
        <is>
          <t>Pendiente de cotización</t>
        </is>
      </c>
    </row>
    <row r="70" ht="60" customHeight="1">
      <c r="B70" s="24" t="inlineStr">
        <is>
          <t>Habilitación de facturación y boleta electrónica del SII</t>
        </is>
      </c>
      <c r="C70" s="24" t="inlineStr">
        <is>
          <t>Trámite tributario</t>
        </is>
      </c>
      <c r="D70" s="8" t="n">
        <v>1</v>
      </c>
      <c r="E70" s="38" t="n">
        <v>0</v>
      </c>
      <c r="F70" s="10">
        <f>D70*E70</f>
        <v/>
      </c>
      <c r="G70" s="24" t="inlineStr">
        <is>
          <t>Supuesto a validar: el SII ofrece un sistema de facturación electrónica sin costo para el contribuyente. Confirmar antes de darlo por gratuito. No duplica el inicio de actividades.</t>
        </is>
      </c>
      <c r="H70" s="24" t="inlineStr">
        <is>
          <t>Pendiente de confirmación</t>
        </is>
      </c>
    </row>
    <row r="71" ht="30" customHeight="1">
      <c r="B71" s="29" t="inlineStr">
        <is>
          <t>Subtotal trámites (registrado en $0 hasta contar con cotización)</t>
        </is>
      </c>
      <c r="C71" s="35" t="n"/>
      <c r="D71" s="35" t="n"/>
      <c r="E71" s="36" t="n"/>
      <c r="F71" s="13">
        <f>SUM(F66:F70)</f>
        <v/>
      </c>
      <c r="G71" s="29" t="inlineStr">
        <is>
          <t>No altera el total estimado mientras no exista un monto cotizado. Al reemplazar los valores unitarios, el desembolso en efectivo (sección 4) se recalcula solo.</t>
        </is>
      </c>
    </row>
    <row r="73" ht="15" customHeight="1">
      <c r="B73" s="26" t="inlineStr">
        <is>
          <t>7. RESOLUCIÓN SANITARIA Y ALCANCE DE PRODUCTOS (CONDICIÓN POR VALIDAR CON LA AUTORIDAD SANITARIA)</t>
        </is>
      </c>
      <c r="C73" s="35" t="n"/>
      <c r="D73" s="35" t="n"/>
      <c r="E73" s="35" t="n"/>
      <c r="F73" s="35" t="n"/>
      <c r="G73" s="35" t="n"/>
      <c r="H73" s="36" t="n"/>
    </row>
    <row r="74" ht="30" customHeight="1">
      <c r="B74" s="26" t="inlineStr">
        <is>
          <t>Alternativa</t>
        </is>
      </c>
      <c r="C74" s="26" t="inlineStr">
        <is>
          <t>Alcance de la oferta</t>
        </is>
      </c>
      <c r="D74" s="26" t="inlineStr">
        <is>
          <t>Cantidad</t>
        </is>
      </c>
      <c r="E74" s="26" t="inlineStr">
        <is>
          <t>Valor unit. (CLP)</t>
        </is>
      </c>
      <c r="F74" s="26" t="inlineStr">
        <is>
          <t>Costo (CLP)</t>
        </is>
      </c>
      <c r="G74" s="26" t="inlineStr">
        <is>
          <t>Observación</t>
        </is>
      </c>
      <c r="H74" s="26" t="inlineStr">
        <is>
          <t>Estado</t>
        </is>
      </c>
    </row>
    <row r="75" ht="120" customHeight="1">
      <c r="B75" s="24" t="inlineStr">
        <is>
          <t>Alternativa A: oferta limitada a productos sin procesar (recomendada para el MVP)</t>
        </is>
      </c>
      <c r="C75" s="24" t="inlineStr">
        <is>
          <t>Frutas, verduras y huevos sin procesar, sin elaboración ni envasado propio</t>
        </is>
      </c>
      <c r="D75" s="8" t="n">
        <v>1</v>
      </c>
      <c r="E75" s="38" t="n">
        <v>0</v>
      </c>
      <c r="F75" s="10">
        <f>D75*E75</f>
        <v/>
      </c>
      <c r="G75" s="24" t="inlineStr">
        <is>
          <t>Efecto analizado: reduce la exposición a exigencias sanitarias de elaboración y etiquetado, pero la necesidad de resolución sanitaria sigue siendo una condición por validar con la SEREMI de Salud, porque depende del tipo de producto, del lugar de acopio y del transporte. No se afirma que sea exigible ni que deje de serlo.</t>
        </is>
      </c>
      <c r="H75" s="24" t="inlineStr">
        <is>
          <t>Pendiente de confirmación</t>
        </is>
      </c>
    </row>
    <row r="76" ht="60" customHeight="1">
      <c r="B76" s="24" t="inlineStr">
        <is>
          <t>Alternativa B: oferta con productos procesados o envasados (no adoptada)</t>
        </is>
      </c>
      <c r="C76" s="24" t="inlineStr">
        <is>
          <t>Productos elaborados, envasados o con etiquetado propio</t>
        </is>
      </c>
      <c r="D76" s="8" t="n">
        <v>1</v>
      </c>
      <c r="E76" s="38" t="n">
        <v>0</v>
      </c>
      <c r="F76" s="10">
        <f>D76*E76</f>
        <v/>
      </c>
      <c r="G76" s="24" t="inlineStr">
        <is>
          <t>Aumenta la exposición a exigencias sanitarias del elaborador o de la bodega y a requisitos de etiquetado, con posible inversión y plazos adicionales.</t>
        </is>
      </c>
      <c r="H76" s="24" t="inlineStr">
        <is>
          <t>Pendiente de cotización</t>
        </is>
      </c>
    </row>
    <row r="77" ht="60" customHeight="1">
      <c r="B77" s="24" t="inlineStr">
        <is>
          <t>Etiquetado y transporte de alimentos</t>
        </is>
      </c>
      <c r="C77" s="24" t="inlineStr">
        <is>
          <t>Información del producto y condiciones del traslado</t>
        </is>
      </c>
      <c r="D77" s="8" t="n">
        <v>1</v>
      </c>
      <c r="E77" s="38" t="n">
        <v>0</v>
      </c>
      <c r="F77" s="10">
        <f>D77*E77</f>
        <v/>
      </c>
      <c r="G77" s="24" t="inlineStr">
        <is>
          <t>Condición por validar con la autoridad sanitaria y con los requisitos aplicables. No se declara como obligación vigente del MVP ni como gasto comprometido.</t>
        </is>
      </c>
      <c r="H77" s="24" t="inlineStr">
        <is>
          <t>Pendiente de confirmación</t>
        </is>
      </c>
    </row>
    <row r="78" ht="30" customHeight="1">
      <c r="B78" s="29" t="inlineStr">
        <is>
          <t>Subtotal resolución sanitaria y etiquetado (sin cotización)</t>
        </is>
      </c>
      <c r="C78" s="35" t="n"/>
      <c r="D78" s="35" t="n"/>
      <c r="E78" s="36" t="n"/>
      <c r="F78" s="13">
        <f>SUM(F75:F77)</f>
        <v/>
      </c>
      <c r="G78" s="29" t="inlineStr">
        <is>
          <t>Se mantiene en $0: no hay cotización ni pronunciamiento de la autoridad sanitaria.</t>
        </is>
      </c>
    </row>
    <row r="80" ht="15" customHeight="1">
      <c r="B80" s="26" t="inlineStr">
        <is>
          <t>8. DELIVERY: ALTERNATIVAS EVALUADAS (COSTOS, INGRESOS Y RIESGOS)</t>
        </is>
      </c>
      <c r="C80" s="35" t="n"/>
      <c r="D80" s="35" t="n"/>
      <c r="E80" s="35" t="n"/>
      <c r="F80" s="35" t="n"/>
      <c r="G80" s="35" t="n"/>
      <c r="H80" s="36" t="n"/>
    </row>
    <row r="81" ht="30" customHeight="1">
      <c r="B81" s="26" t="inlineStr">
        <is>
          <t>Alternativa</t>
        </is>
      </c>
      <c r="C81" s="26" t="inlineStr">
        <is>
          <t>Descripción</t>
        </is>
      </c>
      <c r="D81" s="26" t="inlineStr">
        <is>
          <t>Cantidad</t>
        </is>
      </c>
      <c r="E81" s="26" t="inlineStr">
        <is>
          <t>Valor unit. (CLP)</t>
        </is>
      </c>
      <c r="F81" s="26" t="inlineStr">
        <is>
          <t>Costo (CLP)</t>
        </is>
      </c>
      <c r="G81" s="26" t="inlineStr">
        <is>
          <t>Observación</t>
        </is>
      </c>
      <c r="H81" s="26" t="inlineStr">
        <is>
          <t>Estado</t>
        </is>
      </c>
    </row>
    <row r="82" ht="135" customHeight="1">
      <c r="B82" s="24" t="inlineStr">
        <is>
          <t>1. Despacho a cargo del productor (ADOPTADA: línea base del MVP)</t>
        </is>
      </c>
      <c r="C82" s="24" t="inlineStr">
        <is>
          <t>El Vendedor entrega el pedido y lo cierra con el código de verificación (RF-007 y RF-025)</t>
        </is>
      </c>
      <c r="D82" s="8" t="n">
        <v>1</v>
      </c>
      <c r="E82" s="38" t="n">
        <v>0</v>
      </c>
      <c r="F82" s="10">
        <f>D82*E82</f>
        <v/>
      </c>
      <c r="G82" s="24" t="inlineStr">
        <is>
          <t>Adoptada porque es la definida en el ERS: no exige inversión ni contratación de terceros y su costo para CuTuCo es $0. En ingresos, la tarifa fija de $3.500 por pedido se descuenta en el Split Payment (RF-014); la contraprestación asociada a esa tarifa está pendiente de confirmación. Riesgo: la entrega depende de la capacidad de cada productor y CuTuCo no tiene respaldo logístico propio.</t>
        </is>
      </c>
      <c r="H82" s="24" t="inlineStr">
        <is>
          <t>Confirmado</t>
        </is>
      </c>
    </row>
    <row r="83" ht="75" customHeight="1">
      <c r="B83" s="24" t="inlineStr">
        <is>
          <t>2. Reparto externalizado (evaluada, no contratada)</t>
        </is>
      </c>
      <c r="C83" s="24" t="inlineStr">
        <is>
          <t>Empresa de reparto o red de repartidores externos con tarifa por entrega</t>
        </is>
      </c>
      <c r="D83" s="8" t="n">
        <v>1</v>
      </c>
      <c r="E83" s="38" t="n">
        <v>0</v>
      </c>
      <c r="F83" s="10">
        <f>D83*E83</f>
        <v/>
      </c>
      <c r="G83" s="24" t="inlineStr">
        <is>
          <t>Sin inversión en flota, con costo variable por pedido y dependencia de terceros. Exige definir si la tarifa fija de $3.500 cubre la entrega. No se contrata durante el MVP.</t>
        </is>
      </c>
      <c r="H83" s="24" t="inlineStr">
        <is>
          <t>Pendiente de cotización</t>
        </is>
      </c>
    </row>
    <row r="84" ht="75" customHeight="1">
      <c r="B84" s="24" t="inlineStr">
        <is>
          <t>3. Flota y repartidores propios (evaluada, no contratada)</t>
        </is>
      </c>
      <c r="C84" s="24" t="inlineStr">
        <is>
          <t>Camiones, furgones o motos propios y repartidores contratados</t>
        </is>
      </c>
      <c r="D84" s="8" t="n">
        <v>1</v>
      </c>
      <c r="E84" s="38" t="n">
        <v>0</v>
      </c>
      <c r="F84" s="10">
        <f>D84*E84</f>
        <v/>
      </c>
      <c r="G84" s="24" t="inlineStr">
        <is>
          <t>Entrega controlada, con inversión inicial y costo fijo mensual (vehículos, combustible, seguros y remuneraciones). No se contrata: depende del volumen real de pedidos y de una decisión formal de inversión.</t>
        </is>
      </c>
      <c r="H84" s="24" t="inlineStr">
        <is>
          <t>Pendiente de cotización</t>
        </is>
      </c>
    </row>
    <row r="85" ht="45" customHeight="1">
      <c r="B85" s="29" t="inlineStr">
        <is>
          <t>Subtotal delivery (alternativas no contratadas, sin cotización)</t>
        </is>
      </c>
      <c r="C85" s="35" t="n"/>
      <c r="D85" s="35" t="n"/>
      <c r="E85" s="36" t="n"/>
      <c r="F85" s="13">
        <f>SUM(F82:F84)</f>
        <v/>
      </c>
      <c r="G85" s="29" t="inlineStr">
        <is>
          <t>Criterio de decisión: se adopta la alternativa 1 por ser la línea base del MVP y no generar desembolso. Las alternativas 2 y 3 se reevalúan solo si el volumen de pedidos lo justifica, con cotización y presupuesto aprobado.</t>
        </is>
      </c>
    </row>
    <row r="87" ht="15" customHeight="1">
      <c r="B87" s="26" t="inlineStr">
        <is>
          <t>9. CONDICIONES TRIBUTARIAS, COMERCIALES, SANITARIAS Y OPERATIVAS A VALIDAR</t>
        </is>
      </c>
      <c r="C87" s="35" t="n"/>
      <c r="D87" s="35" t="n"/>
      <c r="E87" s="35" t="n"/>
      <c r="F87" s="35" t="n"/>
      <c r="G87" s="35" t="n"/>
      <c r="H87" s="36" t="n"/>
    </row>
    <row r="88" ht="30" customHeight="1">
      <c r="B88" s="26" t="inlineStr">
        <is>
          <t>Tema</t>
        </is>
      </c>
      <c r="C88" s="26" t="inlineStr">
        <is>
          <t>Qué se debe validar y efecto en el presupuesto</t>
        </is>
      </c>
      <c r="D88" s="35" t="n"/>
      <c r="E88" s="35" t="n"/>
      <c r="F88" s="36" t="n"/>
      <c r="G88" s="26" t="inlineStr">
        <is>
          <t>Nota</t>
        </is>
      </c>
      <c r="H88" s="26" t="inlineStr">
        <is>
          <t>Estado</t>
        </is>
      </c>
    </row>
    <row r="89" ht="60" customHeight="1">
      <c r="B89" s="24" t="inlineStr">
        <is>
          <t>IVA y boleta electrónica</t>
        </is>
      </c>
      <c r="C89" s="24" t="inlineStr">
        <is>
          <t>El ERS define boleta a consumidor final con RUT genérico 66.666.666-6 y factura cuando el comprador es una empresa (B2B). Falta confirmar el tratamiento del IVA sobre la comisión y sobre la tarifa fija por pedido, y si los montos del fee se expresan con o sin IVA. Efecto en el presupuesto: por definir.</t>
        </is>
      </c>
      <c r="D89" s="35" t="n"/>
      <c r="E89" s="35" t="n"/>
      <c r="F89" s="36" t="n"/>
      <c r="G89" s="24" t="inlineStr">
        <is>
          <t>Requiere revisión de un contador; pendiente de confirmación.</t>
        </is>
      </c>
      <c r="H89" s="24" t="inlineStr">
        <is>
          <t>Pendiente de confirmación</t>
        </is>
      </c>
    </row>
    <row r="90" ht="45" customHeight="1">
      <c r="B90" s="24" t="inlineStr">
        <is>
          <t>Patente municipal</t>
        </is>
      </c>
      <c r="C90" s="24" t="inlineStr">
        <is>
          <t>Aplicabilidad, comuna y base de cálculo del permiso de funcionamiento. Efecto: costo periódico no incluido en el total hasta contar con cotización.</t>
        </is>
      </c>
      <c r="D90" s="35" t="n"/>
      <c r="E90" s="35" t="n"/>
      <c r="F90" s="36" t="n"/>
      <c r="G90" s="24" t="inlineStr">
        <is>
          <t>Registrada en la sección 6.</t>
        </is>
      </c>
      <c r="H90" s="24" t="inlineStr">
        <is>
          <t>Pendiente de cotización</t>
        </is>
      </c>
    </row>
    <row r="91" ht="45" customHeight="1">
      <c r="B91" s="24" t="inlineStr">
        <is>
          <t>Resolución sanitaria</t>
        </is>
      </c>
      <c r="C91" s="24" t="inlineStr">
        <is>
          <t>Aplicabilidad según el tipo de producto, el lugar de acopio y el transporte. Efecto: podría exigir habilitación de bodega o de sala de proceso, hoy no presupuestada.</t>
        </is>
      </c>
      <c r="D91" s="35" t="n"/>
      <c r="E91" s="35" t="n"/>
      <c r="F91" s="36" t="n"/>
      <c r="G91" s="24" t="inlineStr">
        <is>
          <t>Analizada en la sección 7.</t>
        </is>
      </c>
      <c r="H91" s="24" t="inlineStr">
        <is>
          <t>Pendiente de confirmación</t>
        </is>
      </c>
    </row>
    <row r="92" ht="45" customHeight="1">
      <c r="B92" s="24" t="inlineStr">
        <is>
          <t>Etiquetado de productos</t>
        </is>
      </c>
      <c r="C92" s="24" t="inlineStr">
        <is>
          <t>Información obligatoria del producto cuando corresponda (origen, peso, fecha y responsable). Efecto: diseño e impresión de etiquetas, hoy no presupuestados.</t>
        </is>
      </c>
      <c r="D92" s="35" t="n"/>
      <c r="E92" s="35" t="n"/>
      <c r="F92" s="36" t="n"/>
      <c r="G92" s="24" t="inlineStr">
        <is>
          <t>Condición por validar con la autoridad sanitaria.</t>
        </is>
      </c>
      <c r="H92" s="24" t="inlineStr">
        <is>
          <t>Pendiente de confirmación</t>
        </is>
      </c>
    </row>
    <row r="93" ht="45" customHeight="1">
      <c r="B93" s="24" t="inlineStr">
        <is>
          <t>Transporte de alimentos</t>
        </is>
      </c>
      <c r="C93" s="24" t="inlineStr">
        <is>
          <t>Condiciones del traslado (temperatura, envases y limpieza) cuando el despacho lo realiza el productor. Efecto: podría exigir envases o cajas adicionales.</t>
        </is>
      </c>
      <c r="D93" s="35" t="n"/>
      <c r="E93" s="35" t="n"/>
      <c r="F93" s="36" t="n"/>
      <c r="G93" s="24" t="inlineStr">
        <is>
          <t>Condición por validar.</t>
        </is>
      </c>
      <c r="H93" s="24" t="inlineStr">
        <is>
          <t>Pendiente de confirmación</t>
        </is>
      </c>
    </row>
    <row r="94" ht="45" customHeight="1">
      <c r="B94" s="24" t="inlineStr">
        <is>
          <t>Comisión de Transbank por transacción</t>
        </is>
      </c>
      <c r="C94" s="24" t="inlineStr">
        <is>
          <t>Monto de la comisión y quién la asume en el contrato de Webpay Mall. Efecto: si la asume CuTuCo, se descuenta del ingreso por fee y cambia el punto de equilibrio.</t>
        </is>
      </c>
      <c r="D94" s="35" t="n"/>
      <c r="E94" s="35" t="n"/>
      <c r="F94" s="36" t="n"/>
      <c r="G94" s="24" t="inlineStr">
        <is>
          <t>No incluida en el total; pendiente de confirmación.</t>
        </is>
      </c>
      <c r="H94" s="24" t="inlineStr">
        <is>
          <t>Pendiente de confirmación</t>
        </is>
      </c>
    </row>
    <row r="95" ht="45" customHeight="1">
      <c r="B95" s="24" t="inlineStr">
        <is>
          <t>Registro del Código de Comercio Mall</t>
        </is>
      </c>
      <c r="C95" s="24" t="inlineStr">
        <is>
          <t>El código se obtiene en el trámite con Transbank y es un paso posterior e independiente de la aprobación de la postulación. Mientras un productor no lo tenga, no puede operar y sus productos no se muestran en el catálogo.</t>
        </is>
      </c>
      <c r="D95" s="35" t="n"/>
      <c r="E95" s="35" t="n"/>
      <c r="F95" s="36" t="n"/>
      <c r="G95" s="24" t="inlineStr">
        <is>
          <t>Trámite fuera del flujo principal de la plataforma.</t>
        </is>
      </c>
      <c r="H95" s="24" t="inlineStr">
        <is>
          <t>Pendiente de confirmación</t>
        </is>
      </c>
    </row>
    <row r="96" ht="45" customHeight="1">
      <c r="B96" s="24" t="inlineStr">
        <is>
          <t>Datos bancarios y documentos de postulación</t>
        </is>
      </c>
      <c r="C96" s="24" t="inlineStr">
        <is>
          <t>Protección mediante RLS, policies, grants y permisos de almacenamiento de Supabase. Efecto: sin costo adicional durante el MVP.</t>
        </is>
      </c>
      <c r="D96" s="35" t="n"/>
      <c r="E96" s="35" t="n"/>
      <c r="F96" s="36" t="n"/>
      <c r="G96" s="24" t="inlineStr">
        <is>
          <t>La inscripción de la cuenta bancaria en Transbank es un trámite externo al flujo de la plataforma; los datos recibidos se protegen con RLS, policies, grants y permisos de almacenamiento.</t>
        </is>
      </c>
      <c r="H96" s="24" t="inlineStr">
        <is>
          <t>Confirmado</t>
        </is>
      </c>
    </row>
    <row r="97" ht="45" customHeight="1">
      <c r="B97" s="24" t="inlineStr">
        <is>
          <t>Suscripción mensual por productor</t>
        </is>
      </c>
      <c r="C97" s="24" t="inlineStr">
        <is>
          <t>Precio y adopción del modelo proyectado. Efecto en los ingresos: se modela desde el Año 1 como negocio proyectado.</t>
        </is>
      </c>
      <c r="D97" s="35" t="n"/>
      <c r="E97" s="35" t="n"/>
      <c r="F97" s="36" t="n"/>
      <c r="G97" s="24" t="inlineStr">
        <is>
          <t>La facturación de la suscripción no forma parte del MVP.</t>
        </is>
      </c>
      <c r="H97" s="24" t="inlineStr">
        <is>
          <t>Fuera del MVP</t>
        </is>
      </c>
    </row>
    <row r="98" ht="45" customHeight="1">
      <c r="B98" s="24" t="inlineStr">
        <is>
          <t>Delivery</t>
        </is>
      </c>
      <c r="C98" s="24" t="inlineStr">
        <is>
          <t>Alternativa adoptada y su efecto en costos, ingresos y riesgos.</t>
        </is>
      </c>
      <c r="D98" s="35" t="n"/>
      <c r="E98" s="35" t="n"/>
      <c r="F98" s="36" t="n"/>
      <c r="G98" s="24" t="inlineStr">
        <is>
          <t>Analizada en la sección 8.</t>
        </is>
      </c>
      <c r="H98" s="24" t="inlineStr">
        <is>
          <t>Confirmado</t>
        </is>
      </c>
    </row>
    <row r="100" ht="15" customHeight="1">
      <c r="B100" s="26" t="inlineStr">
        <is>
          <t>10. ESTADOS DEL PRESUPUESTO Y LEYENDA (APLICA A TODAS LAS FILAS DE ESTA HOJA)</t>
        </is>
      </c>
      <c r="C100" s="35" t="n"/>
      <c r="D100" s="35" t="n"/>
      <c r="E100" s="35" t="n"/>
      <c r="F100" s="35" t="n"/>
      <c r="G100" s="35" t="n"/>
      <c r="H100" s="36" t="n"/>
    </row>
    <row r="101" ht="30" customHeight="1">
      <c r="B101" s="26" t="inlineStr">
        <is>
          <t>Estado</t>
        </is>
      </c>
      <c r="C101" s="26" t="inlineStr">
        <is>
          <t>Significado</t>
        </is>
      </c>
      <c r="D101" s="35" t="n"/>
      <c r="E101" s="35" t="n"/>
      <c r="F101" s="35" t="n"/>
      <c r="G101" s="35" t="n"/>
      <c r="H101" s="36" t="n"/>
    </row>
    <row r="102" ht="30" customHeight="1">
      <c r="B102" s="24" t="inlineStr">
        <is>
          <t>Confirmado</t>
        </is>
      </c>
      <c r="C102" s="24" t="inlineStr">
        <is>
          <t>Monto o condición verificada en la documentación del proyecto o del proveedor. Incluye los niveles gratuitos, que hoy no generan desembolso.</t>
        </is>
      </c>
      <c r="D102" s="35" t="n"/>
      <c r="E102" s="35" t="n"/>
      <c r="F102" s="35" t="n"/>
      <c r="G102" s="35" t="n"/>
      <c r="H102" s="36" t="n"/>
    </row>
    <row r="103" ht="30" customHeight="1">
      <c r="B103" s="24" t="inlineStr">
        <is>
          <t>Estimado</t>
        </is>
      </c>
      <c r="C103" s="24" t="inlineStr">
        <is>
          <t>Referencia del equipo para el mercado chileno, sin cotización formal. Puede cambiar al momento de contratar.</t>
        </is>
      </c>
      <c r="D103" s="35" t="n"/>
      <c r="E103" s="35" t="n"/>
      <c r="F103" s="35" t="n"/>
      <c r="G103" s="35" t="n"/>
      <c r="H103" s="36" t="n"/>
    </row>
    <row r="104" ht="30" customHeight="1">
      <c r="B104" s="24" t="inlineStr">
        <is>
          <t>Valorizado</t>
        </is>
      </c>
      <c r="C104" s="24" t="inlineStr">
        <is>
          <t>Costo de referencia del trabajo del equipo a precio de mercado. No genera desembolso.</t>
        </is>
      </c>
      <c r="D104" s="35" t="n"/>
      <c r="E104" s="35" t="n"/>
      <c r="F104" s="35" t="n"/>
      <c r="G104" s="35" t="n"/>
      <c r="H104" s="36" t="n"/>
    </row>
    <row r="105" ht="30" customHeight="1">
      <c r="B105" s="24" t="inlineStr">
        <is>
          <t>Pendiente de cotización</t>
        </is>
      </c>
      <c r="C105" s="24" t="inlineStr">
        <is>
          <t>No hay monto sustentable: se registra en $0 y se incorporará al total cuando exista una cotización o un valor oficial.</t>
        </is>
      </c>
      <c r="D105" s="35" t="n"/>
      <c r="E105" s="35" t="n"/>
      <c r="F105" s="35" t="n"/>
      <c r="G105" s="35" t="n"/>
      <c r="H105" s="36" t="n"/>
    </row>
    <row r="106" ht="30" customHeight="1">
      <c r="B106" s="24" t="inlineStr">
        <is>
          <t>Pendiente de confirmación</t>
        </is>
      </c>
      <c r="C106" s="24" t="inlineStr">
        <is>
          <t>Falta validar la exigibilidad, la aplicabilidad o la cifra antes de comprometer un gasto.</t>
        </is>
      </c>
      <c r="D106" s="35" t="n"/>
      <c r="E106" s="35" t="n"/>
      <c r="F106" s="35" t="n"/>
      <c r="G106" s="35" t="n"/>
      <c r="H106" s="36" t="n"/>
    </row>
    <row r="107" ht="30" customHeight="1">
      <c r="B107" s="24" t="inlineStr">
        <is>
          <t>Fuera del MVP</t>
        </is>
      </c>
      <c r="C107" s="24" t="inlineStr">
        <is>
          <t>Concepto identificado y modelado como negocio proyectado, pero no activo en esta versión.</t>
        </is>
      </c>
      <c r="D107" s="35" t="n"/>
      <c r="E107" s="35" t="n"/>
      <c r="F107" s="35" t="n"/>
      <c r="G107" s="35" t="n"/>
      <c r="H107" s="36" t="n"/>
    </row>
  </sheetData>
  <mergeCells count="55">
    <mergeCell ref="C103:H103"/>
    <mergeCell ref="D9:G9"/>
    <mergeCell ref="B49:E49"/>
    <mergeCell ref="D12:G12"/>
    <mergeCell ref="D8:G8"/>
    <mergeCell ref="C91:F91"/>
    <mergeCell ref="B22:C22"/>
    <mergeCell ref="B64:H64"/>
    <mergeCell ref="C105:H105"/>
    <mergeCell ref="B51:E51"/>
    <mergeCell ref="B5:H5"/>
    <mergeCell ref="B80:H80"/>
    <mergeCell ref="B85:E85"/>
    <mergeCell ref="B35:E35"/>
    <mergeCell ref="B50:E50"/>
    <mergeCell ref="B26:H26"/>
    <mergeCell ref="C96:F96"/>
    <mergeCell ref="B4:H4"/>
    <mergeCell ref="B54:E54"/>
    <mergeCell ref="C92:F92"/>
    <mergeCell ref="B100:H100"/>
    <mergeCell ref="C106:H106"/>
    <mergeCell ref="B47:E47"/>
    <mergeCell ref="D10:G10"/>
    <mergeCell ref="B3:H3"/>
    <mergeCell ref="C89:F89"/>
    <mergeCell ref="C98:F98"/>
    <mergeCell ref="B46:H46"/>
    <mergeCell ref="B71:E71"/>
    <mergeCell ref="B56:H56"/>
    <mergeCell ref="C97:F97"/>
    <mergeCell ref="C88:F88"/>
    <mergeCell ref="D6:G6"/>
    <mergeCell ref="B63:G63"/>
    <mergeCell ref="B52:E52"/>
    <mergeCell ref="B48:E48"/>
    <mergeCell ref="C102:H102"/>
    <mergeCell ref="B2:H2"/>
    <mergeCell ref="C94:F94"/>
    <mergeCell ref="D11:G11"/>
    <mergeCell ref="C101:H101"/>
    <mergeCell ref="C93:F93"/>
    <mergeCell ref="B14:H14"/>
    <mergeCell ref="C107:H107"/>
    <mergeCell ref="B53:E53"/>
    <mergeCell ref="B1:H1"/>
    <mergeCell ref="C104:H104"/>
    <mergeCell ref="B44:E44"/>
    <mergeCell ref="B73:H73"/>
    <mergeCell ref="B78:E78"/>
    <mergeCell ref="D7:G7"/>
    <mergeCell ref="B87:H87"/>
    <mergeCell ref="C90:F90"/>
    <mergeCell ref="C95:F95"/>
    <mergeCell ref="B37:H37"/>
  </mergeCells>
  <pageMargins left="0.75" right="0.75" top="1" bottom="1" header="0.511811023622047" footer="0.511811023622047"/>
  <pageSetup orientation="portrait" scale="3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H106"/>
  <sheetViews>
    <sheetView showGridLines="0" topLeftCell="A10" zoomScaleNormal="100" workbookViewId="0">
      <selection activeCell="B68" sqref="B68"/>
    </sheetView>
  </sheetViews>
  <sheetFormatPr baseColWidth="10" defaultColWidth="8.7109375" defaultRowHeight="15"/>
  <cols>
    <col width="3" customWidth="1" min="1" max="1"/>
    <col width="46" customWidth="1" min="2" max="2"/>
    <col width="22" customWidth="1" min="3" max="3"/>
    <col width="12" customWidth="1" min="4" max="4"/>
    <col width="16" customWidth="1" min="5" max="5"/>
    <col width="18" customWidth="1" min="6" max="6"/>
    <col width="52" customWidth="1" min="7" max="7"/>
    <col width="22" customWidth="1" min="8" max="8"/>
  </cols>
  <sheetData>
    <row r="1" ht="18.75" customHeight="1">
      <c r="B1" s="31" t="inlineStr">
        <is>
          <t>PRESUPUESTO ESTIMADO – ESCENARIO BAJO – PLAN DE COSTOS</t>
        </is>
      </c>
    </row>
    <row r="2">
      <c r="B2" s="32" t="inlineStr">
        <is>
          <t>CuTuCo (Cultiva Tu Compra) – Marketplace SaaS B2B2C | Duoc UC Plaza Norte – Ingeniería en Informática</t>
        </is>
      </c>
    </row>
    <row r="3">
      <c r="B3" s="33" t="inlineStr">
        <is>
          <t>Duración: 13 semanas (11/09/2026 – 10/12/2026) | Equipo: Vicente Rivera e Ignacio Fuenzalida | Moneda: pesos chilenos (CLP)</t>
        </is>
      </c>
    </row>
    <row r="4" ht="30" customHeight="1">
      <c r="B4" s="34" t="inlineStr">
        <is>
          <t>Opción A: MVP académico con niveles gratuitos y créditos GCP. Equipo de dos personas, alcance de 22 requerimientos, sin gasto productivo.</t>
        </is>
      </c>
    </row>
    <row r="5" ht="15" customHeight="1">
      <c r="B5" s="26" t="inlineStr">
        <is>
          <t>SUPUESTOS (celdas azules con fondo amarillo = editables)</t>
        </is>
      </c>
      <c r="C5" s="35" t="n"/>
      <c r="D5" s="35" t="n"/>
      <c r="E5" s="35" t="n"/>
      <c r="F5" s="35" t="n"/>
      <c r="G5" s="35" t="n"/>
      <c r="H5" s="36" t="n"/>
    </row>
    <row r="6" ht="19.5" customHeight="1">
      <c r="B6" s="24" t="inlineStr">
        <is>
          <t>Tipo de cambio (CLP por USD)</t>
        </is>
      </c>
      <c r="C6" s="4" t="n">
        <v>950</v>
      </c>
      <c r="D6" s="30" t="inlineStr">
        <is>
          <t>Supuesto del equipo; ajustar al valor del día de pago.</t>
        </is>
      </c>
      <c r="E6" s="35" t="n"/>
      <c r="F6" s="35" t="n"/>
      <c r="G6" s="36" t="n"/>
    </row>
    <row r="7" ht="19.5" customHeight="1">
      <c r="B7" s="24" t="inlineStr">
        <is>
          <t>Duración del proyecto (meses)</t>
        </is>
      </c>
      <c r="C7" s="5" t="n">
        <v>3</v>
      </c>
      <c r="D7" s="30" t="inlineStr">
        <is>
          <t>13 semanas ≈ 3 meses.</t>
        </is>
      </c>
      <c r="E7" s="35" t="n"/>
      <c r="F7" s="35" t="n"/>
      <c r="G7" s="36" t="n"/>
    </row>
    <row r="8" ht="19.5" customHeight="1">
      <c r="B8" s="24" t="inlineStr">
        <is>
          <t>Semanas de trabajo</t>
        </is>
      </c>
      <c r="C8" s="5" t="n">
        <v>13</v>
      </c>
      <c r="D8" s="30" t="inlineStr">
        <is>
          <t>Acta de Constitución: semanas 1 a 13.</t>
        </is>
      </c>
      <c r="E8" s="35" t="n"/>
      <c r="F8" s="35" t="n"/>
      <c r="G8" s="36" t="n"/>
    </row>
    <row r="9" ht="19.5" customHeight="1">
      <c r="B9" s="24" t="inlineStr">
        <is>
          <t>Horas por semana por integrante</t>
        </is>
      </c>
      <c r="C9" s="5" t="n">
        <v>20</v>
      </c>
      <c r="D9" s="30" t="inlineStr">
        <is>
          <t>Dedicación estimada compatible con la carga académica.</t>
        </is>
      </c>
      <c r="E9" s="35" t="n"/>
      <c r="F9" s="35" t="n"/>
      <c r="G9" s="36" t="n"/>
    </row>
    <row r="10" ht="19.5" customHeight="1">
      <c r="B10" s="24" t="inlineStr">
        <is>
          <t>Contingencia sobre el subtotal</t>
        </is>
      </c>
      <c r="C10" s="6" t="n">
        <v>0.1</v>
      </c>
      <c r="D10" s="30" t="inlineStr">
        <is>
          <t>Reserva básica; la infraestructura es casi gratuita.</t>
        </is>
      </c>
      <c r="E10" s="35" t="n"/>
      <c r="F10" s="35" t="n"/>
      <c r="G10" s="36" t="n"/>
    </row>
    <row r="11" ht="19.5" customHeight="1">
      <c r="B11" s="24" t="inlineStr">
        <is>
          <t>Valor de un notebook propio (CLP)</t>
        </is>
      </c>
      <c r="C11" s="4" t="n">
        <v>700000</v>
      </c>
      <c r="D11" s="30" t="inlineStr">
        <is>
          <t>Estimación de mercado Chile.</t>
        </is>
      </c>
      <c r="E11" s="35" t="n"/>
      <c r="F11" s="35" t="n"/>
      <c r="G11" s="36" t="n"/>
    </row>
    <row r="12" ht="19.5" customHeight="1">
      <c r="B12" s="24" t="inlineStr">
        <is>
          <t>Vida útil del notebook (meses)</t>
        </is>
      </c>
      <c r="C12" s="5" t="n">
        <v>36</v>
      </c>
      <c r="D12" s="30" t="inlineStr">
        <is>
          <t>Depreciación lineal.</t>
        </is>
      </c>
      <c r="E12" s="35" t="n"/>
      <c r="F12" s="35" t="n"/>
      <c r="G12" s="36" t="n"/>
    </row>
    <row r="13">
      <c r="B13" s="37" t="inlineStr">
        <is>
          <t>Estado de cada monto: la leyenda completa está en la sección 10, al final de la hoja.</t>
        </is>
      </c>
      <c r="C13" s="7" t="n"/>
      <c r="D13" s="7" t="n"/>
      <c r="E13" s="7" t="n"/>
      <c r="F13" s="7" t="n"/>
      <c r="G13" s="7" t="n"/>
    </row>
    <row r="14" ht="15" customHeight="1">
      <c r="B14" s="26" t="inlineStr">
        <is>
          <t>1. RECURSO HUMANO (valorizado a precio de mercado; no es desembolso)</t>
        </is>
      </c>
      <c r="C14" s="35" t="n"/>
      <c r="D14" s="35" t="n"/>
      <c r="E14" s="35" t="n"/>
      <c r="F14" s="35" t="n"/>
      <c r="G14" s="35" t="n"/>
      <c r="H14" s="36" t="n"/>
    </row>
    <row r="15" ht="30" customHeight="1">
      <c r="B15" s="26" t="inlineStr">
        <is>
          <t>Rol</t>
        </is>
      </c>
      <c r="C15" s="26" t="inlineStr">
        <is>
          <t>Responsable</t>
        </is>
      </c>
      <c r="D15" s="26" t="inlineStr">
        <is>
          <t>Horas</t>
        </is>
      </c>
      <c r="E15" s="26" t="inlineStr">
        <is>
          <t>Valor hora (CLP)</t>
        </is>
      </c>
      <c r="F15" s="26" t="inlineStr">
        <is>
          <t>Costo (CLP)</t>
        </is>
      </c>
      <c r="G15" s="26" t="inlineStr">
        <is>
          <t>Observación</t>
        </is>
      </c>
      <c r="H15" s="26" t="inlineStr">
        <is>
          <t>Estado</t>
        </is>
      </c>
    </row>
    <row r="16" ht="30" customHeight="1">
      <c r="B16" s="24" t="inlineStr">
        <is>
          <t>Jefe de Proyecto (JP)</t>
        </is>
      </c>
      <c r="C16" s="24" t="inlineStr">
        <is>
          <t>Vicente Rivera</t>
        </is>
      </c>
      <c r="D16" s="8" t="n">
        <v>50</v>
      </c>
      <c r="E16" s="9" t="n">
        <v>13388</v>
      </c>
      <c r="F16" s="10">
        <f>D16*E16</f>
        <v/>
      </c>
      <c r="G16" s="24" t="inlineStr">
        <is>
          <t>Costo empresa $2.142.000 / 160 h. Gestión, control y coordinación.</t>
        </is>
      </c>
      <c r="H16" s="24" t="inlineStr">
        <is>
          <t>Valorizado</t>
        </is>
      </c>
    </row>
    <row r="17" ht="30" customHeight="1">
      <c r="B17" s="24" t="inlineStr">
        <is>
          <t>Arquitecto de Software (ASW)</t>
        </is>
      </c>
      <c r="C17" s="24" t="inlineStr">
        <is>
          <t>Vicente Rivera</t>
        </is>
      </c>
      <c r="D17" s="8" t="n">
        <v>45</v>
      </c>
      <c r="E17" s="9" t="n">
        <v>11156</v>
      </c>
      <c r="F17" s="10">
        <f>D17*E17</f>
        <v/>
      </c>
      <c r="G17" s="24" t="inlineStr">
        <is>
          <t>Costo empresa $1.785.000 / 160 h. Arquitectura y despliegue.</t>
        </is>
      </c>
      <c r="H17" s="24" t="inlineStr">
        <is>
          <t>Valorizado</t>
        </is>
      </c>
    </row>
    <row r="18" ht="30" customHeight="1">
      <c r="B18" s="24" t="inlineStr">
        <is>
          <t>Administrador de BBDD (DBA)</t>
        </is>
      </c>
      <c r="C18" s="24" t="inlineStr">
        <is>
          <t>Vicente Rivera</t>
        </is>
      </c>
      <c r="D18" s="8" t="n">
        <v>45</v>
      </c>
      <c r="E18" s="9" t="n">
        <v>10041</v>
      </c>
      <c r="F18" s="10">
        <f>D18*E18</f>
        <v/>
      </c>
      <c r="G18" s="24" t="inlineStr">
        <is>
          <t>Costo empresa $1.606.500 / 160 h. PostgreSQL, RLS y scripts.</t>
        </is>
      </c>
      <c r="H18" s="24" t="inlineStr">
        <is>
          <t>Valorizado</t>
        </is>
      </c>
    </row>
    <row r="19" ht="30" customHeight="1">
      <c r="B19" s="24" t="inlineStr">
        <is>
          <t>Programador Full Stack 1 – Backend (PFS 1)</t>
        </is>
      </c>
      <c r="C19" s="24" t="inlineStr">
        <is>
          <t>Vicente Rivera</t>
        </is>
      </c>
      <c r="D19" s="8" t="n">
        <v>120</v>
      </c>
      <c r="E19" s="9" t="n">
        <v>7438</v>
      </c>
      <c r="F19" s="10">
        <f>D19*E19</f>
        <v/>
      </c>
      <c r="G19" s="24" t="inlineStr">
        <is>
          <t>Costo empresa $1.190.000 / 160 h. FastAPI, pagos y correos.</t>
        </is>
      </c>
      <c r="H19" s="24" t="inlineStr">
        <is>
          <t>Valorizado</t>
        </is>
      </c>
    </row>
    <row r="20" ht="30" customHeight="1">
      <c r="B20" s="24" t="inlineStr">
        <is>
          <t>Analista de Procesos (AP)</t>
        </is>
      </c>
      <c r="C20" s="24" t="inlineStr">
        <is>
          <t>Ignacio Fuenzalida</t>
        </is>
      </c>
      <c r="D20" s="8" t="n">
        <v>60</v>
      </c>
      <c r="E20" s="9" t="n">
        <v>5950</v>
      </c>
      <c r="F20" s="10">
        <f>D20*E20</f>
        <v/>
      </c>
      <c r="G20" s="24" t="inlineStr">
        <is>
          <t>Costo empresa $952.000 / 160 h. ERS, mockups y pruebas.</t>
        </is>
      </c>
      <c r="H20" s="24" t="inlineStr">
        <is>
          <t>Valorizado</t>
        </is>
      </c>
    </row>
    <row r="21" ht="30" customHeight="1">
      <c r="B21" s="24" t="inlineStr">
        <is>
          <t>Programador Full Stack 2 – Frontend (PFS 2)</t>
        </is>
      </c>
      <c r="C21" s="24" t="inlineStr">
        <is>
          <t>Ignacio Fuenzalida</t>
        </is>
      </c>
      <c r="D21" s="8" t="n">
        <v>200</v>
      </c>
      <c r="E21" s="9" t="n">
        <v>9669</v>
      </c>
      <c r="F21" s="10">
        <f>D21*E21</f>
        <v/>
      </c>
      <c r="G21" s="24" t="inlineStr">
        <is>
          <t>Costo empresa $1.547.000 / 160 h. Vue.js + Vite.</t>
        </is>
      </c>
      <c r="H21" s="24" t="inlineStr">
        <is>
          <t>Valorizado</t>
        </is>
      </c>
    </row>
    <row r="22" ht="30" customHeight="1">
      <c r="B22" s="29" t="inlineStr">
        <is>
          <t>Subtotal recurso humano</t>
        </is>
      </c>
      <c r="C22" s="36" t="n"/>
      <c r="D22" s="11">
        <f>SUM(D16:D21)</f>
        <v/>
      </c>
      <c r="E22" s="12" t="n"/>
      <c r="F22" s="13">
        <f>SUM(F16:F21)</f>
        <v/>
      </c>
      <c r="G22" s="14" t="inlineStr">
        <is>
          <t>Valor hora tomado de la tabla de roles del Acta (talent.com).</t>
        </is>
      </c>
    </row>
    <row r="23" ht="30" customHeight="1">
      <c r="B23" s="30" t="inlineStr">
        <is>
          <t>Control de horas: Vicente Rivera</t>
        </is>
      </c>
      <c r="C23" s="30" t="inlineStr">
        <is>
          <t>Asignadas / disponibles</t>
        </is>
      </c>
      <c r="D23" s="15">
        <f>SUMIF($C$16:$C$21,"Vicente Rivera",$D$16:$D$21)</f>
        <v/>
      </c>
      <c r="E23" s="15">
        <f>$C$8*$C$9</f>
        <v/>
      </c>
      <c r="F23" s="16">
        <f>IF(D23&lt;=E23,"OK","Excede")</f>
        <v/>
      </c>
      <c r="G23" s="30" t="inlineStr">
        <is>
          <t>Las horas asignadas no deben superar las disponibles.</t>
        </is>
      </c>
    </row>
    <row r="24" ht="30" customHeight="1">
      <c r="B24" s="30" t="inlineStr">
        <is>
          <t>Control de horas: Ignacio Fuenzalida</t>
        </is>
      </c>
      <c r="C24" s="30" t="inlineStr">
        <is>
          <t>Asignadas / disponibles</t>
        </is>
      </c>
      <c r="D24" s="15">
        <f>SUMIF($C$16:$C$21,"Ignacio Fuenzalida",$D$16:$D$21)</f>
        <v/>
      </c>
      <c r="E24" s="15">
        <f>$C$8*$C$9</f>
        <v/>
      </c>
      <c r="F24" s="16">
        <f>IF(D24&lt;=E24,"OK","Excede")</f>
        <v/>
      </c>
      <c r="G24" s="30" t="inlineStr">
        <is>
          <t>Las horas asignadas no deben superar las disponibles.</t>
        </is>
      </c>
    </row>
    <row r="25" ht="30" customHeight="1">
      <c r="B25" s="7" t="n"/>
      <c r="C25" s="7" t="n"/>
      <c r="D25" s="7" t="n"/>
      <c r="E25" s="7" t="n"/>
      <c r="F25" s="7" t="n"/>
      <c r="G25" s="7" t="n"/>
    </row>
    <row r="26" ht="30" customHeight="1">
      <c r="B26" s="26" t="inlineStr">
        <is>
          <t>2. INFRAESTRUCTURA Y SERVICIOS – OPCIÓN A (MVP ACADÉMICO)</t>
        </is>
      </c>
      <c r="C26" s="35" t="n"/>
      <c r="D26" s="35" t="n"/>
      <c r="E26" s="35" t="n"/>
      <c r="F26" s="35" t="n"/>
      <c r="G26" s="35" t="n"/>
      <c r="H26" s="36" t="n"/>
    </row>
    <row r="27" ht="30" customHeight="1">
      <c r="B27" s="26" t="inlineStr">
        <is>
          <t>Servicio</t>
        </is>
      </c>
      <c r="C27" s="26" t="inlineStr">
        <is>
          <t>Uso en CuTuCo</t>
        </is>
      </c>
      <c r="D27" s="26" t="inlineStr">
        <is>
          <t>Cantidad</t>
        </is>
      </c>
      <c r="E27" s="26" t="inlineStr">
        <is>
          <t>Valor unit. (USD)</t>
        </is>
      </c>
      <c r="F27" s="26" t="inlineStr">
        <is>
          <t>Costo (CLP)</t>
        </is>
      </c>
      <c r="G27" s="26" t="inlineStr">
        <is>
          <t>Observación</t>
        </is>
      </c>
      <c r="H27" s="26" t="inlineStr">
        <is>
          <t>Estado</t>
        </is>
      </c>
    </row>
    <row r="28" ht="30" customHeight="1">
      <c r="B28" s="24" t="inlineStr">
        <is>
          <t>Dominio web</t>
        </is>
      </c>
      <c r="C28" s="24" t="inlineStr">
        <is>
          <t>Acceso público</t>
        </is>
      </c>
      <c r="D28" s="17" t="n">
        <v>1</v>
      </c>
      <c r="E28" s="18" t="n">
        <v>12</v>
      </c>
      <c r="F28" s="10">
        <f>D28*E28*$C$6</f>
        <v/>
      </c>
      <c r="G28" s="24" t="inlineStr">
        <is>
          <t>Cantidad en años. Costo del informe: USD 12 al año.</t>
        </is>
      </c>
      <c r="H28" s="24" t="inlineStr">
        <is>
          <t>Estimado</t>
        </is>
      </c>
    </row>
    <row r="29" ht="30" customHeight="1">
      <c r="B29" s="24" t="inlineStr">
        <is>
          <t>Vercel Hobby</t>
        </is>
      </c>
      <c r="C29" s="24" t="inlineStr">
        <is>
          <t>Frontend Vue.js + Vite</t>
        </is>
      </c>
      <c r="D29" s="17" t="n">
        <v>3</v>
      </c>
      <c r="E29" s="18" t="n">
        <v>0</v>
      </c>
      <c r="F29" s="10">
        <f>D29*E29*$C$6</f>
        <v/>
      </c>
      <c r="G29" s="24" t="inlineStr">
        <is>
          <t>Cantidad en meses. Nivel gratuito.</t>
        </is>
      </c>
      <c r="H29" s="24" t="inlineStr">
        <is>
          <t>Confirmado</t>
        </is>
      </c>
    </row>
    <row r="30" ht="30" customHeight="1">
      <c r="B30" s="24" t="inlineStr">
        <is>
          <t>Supabase (nivel gratuito)</t>
        </is>
      </c>
      <c r="C30" s="24" t="inlineStr">
        <is>
          <t>PostgreSQL, Auth, PostgREST, Storage</t>
        </is>
      </c>
      <c r="D30" s="17" t="n">
        <v>3</v>
      </c>
      <c r="E30" s="18" t="n">
        <v>0</v>
      </c>
      <c r="F30" s="10">
        <f>D30*E30*$C$6</f>
        <v/>
      </c>
      <c r="G30" s="24" t="inlineStr">
        <is>
          <t>Cantidad en meses. Nivel gratuito.</t>
        </is>
      </c>
      <c r="H30" s="24" t="inlineStr">
        <is>
          <t>Confirmado</t>
        </is>
      </c>
    </row>
    <row r="31" ht="30" customHeight="1">
      <c r="B31" s="24" t="inlineStr">
        <is>
          <t>GCP Cloud Run + Secret Manager</t>
        </is>
      </c>
      <c r="C31" s="24" t="inlineStr">
        <is>
          <t>FastAPI + Docker (us-central1)</t>
        </is>
      </c>
      <c r="D31" s="17" t="n">
        <v>3</v>
      </c>
      <c r="E31" s="18" t="n">
        <v>0</v>
      </c>
      <c r="F31" s="10">
        <f>D31*E31*$C$6</f>
        <v/>
      </c>
      <c r="G31" s="24" t="inlineStr">
        <is>
          <t>Cubierto por créditos GCP de USD 300 (vigentes hasta el 29/11).</t>
        </is>
      </c>
      <c r="H31" s="24" t="inlineStr">
        <is>
          <t>Confirmado</t>
        </is>
      </c>
    </row>
    <row r="32" ht="30" customHeight="1">
      <c r="B32" s="24" t="inlineStr">
        <is>
          <t>Resend</t>
        </is>
      </c>
      <c r="C32" s="24" t="inlineStr">
        <is>
          <t>Correos de Auth (SMTP) y de negocio (API)</t>
        </is>
      </c>
      <c r="D32" s="17" t="n">
        <v>3</v>
      </c>
      <c r="E32" s="18" t="n">
        <v>0</v>
      </c>
      <c r="F32" s="10">
        <f>D32*E32*$C$6</f>
        <v/>
      </c>
      <c r="G32" s="24" t="inlineStr">
        <is>
          <t>Cantidad en meses. Nivel gratuito.</t>
        </is>
      </c>
      <c r="H32" s="24" t="inlineStr">
        <is>
          <t>Confirmado</t>
        </is>
      </c>
    </row>
    <row r="33" ht="30" customHeight="1">
      <c r="B33" s="24" t="inlineStr">
        <is>
          <t>Transbank Webpay Mall Test</t>
        </is>
      </c>
      <c r="C33" s="24" t="inlineStr">
        <is>
          <t>Pagos en ambiente de integración</t>
        </is>
      </c>
      <c r="D33" s="17" t="n">
        <v>3</v>
      </c>
      <c r="E33" s="18" t="n">
        <v>0</v>
      </c>
      <c r="F33" s="10">
        <f>D33*E33*$C$6</f>
        <v/>
      </c>
      <c r="G33" s="24" t="inlineStr">
        <is>
          <t>Ambiente de pruebas sin costo.</t>
        </is>
      </c>
      <c r="H33" s="24" t="inlineStr">
        <is>
          <t>Confirmado</t>
        </is>
      </c>
    </row>
    <row r="34" ht="30" customHeight="1">
      <c r="B34" s="24" t="inlineStr">
        <is>
          <t>GitHub + GitHub Actions</t>
        </is>
      </c>
      <c r="C34" s="24" t="inlineStr">
        <is>
          <t>Repositorio y CI/CD</t>
        </is>
      </c>
      <c r="D34" s="17" t="n">
        <v>3</v>
      </c>
      <c r="E34" s="18" t="n">
        <v>0</v>
      </c>
      <c r="F34" s="10">
        <f>D34*E34*$C$6</f>
        <v/>
      </c>
      <c r="G34" s="24" t="inlineStr">
        <is>
          <t>Cantidad en meses. Plan gratuito.</t>
        </is>
      </c>
      <c r="H34" s="24" t="inlineStr">
        <is>
          <t>Confirmado</t>
        </is>
      </c>
    </row>
    <row r="35" ht="30" customHeight="1">
      <c r="B35" s="29" t="inlineStr">
        <is>
          <t>Subtotal infraestructura (desembolso)</t>
        </is>
      </c>
      <c r="C35" s="35" t="n"/>
      <c r="D35" s="35" t="n"/>
      <c r="E35" s="36" t="n"/>
      <c r="F35" s="13">
        <f>SUM(F28:F34)</f>
        <v/>
      </c>
      <c r="G35" s="14" t="inlineStr">
        <is>
          <t>Coincide con el orden de USD 12 indicado en el Acta.</t>
        </is>
      </c>
    </row>
    <row r="36" ht="30" customHeight="1">
      <c r="B36" s="7" t="n"/>
      <c r="C36" s="7" t="n"/>
      <c r="D36" s="7" t="n"/>
      <c r="E36" s="7" t="n"/>
      <c r="F36" s="7" t="n"/>
      <c r="G36" s="7" t="n"/>
    </row>
    <row r="37" ht="30" customHeight="1">
      <c r="B37" s="26" t="inlineStr">
        <is>
          <t>3. OTROS COSTOS DEL PROYECTO</t>
        </is>
      </c>
      <c r="C37" s="35" t="n"/>
      <c r="D37" s="35" t="n"/>
      <c r="E37" s="35" t="n"/>
      <c r="F37" s="35" t="n"/>
      <c r="G37" s="35" t="n"/>
      <c r="H37" s="36" t="n"/>
    </row>
    <row r="38" ht="30" customHeight="1">
      <c r="B38" s="26" t="inlineStr">
        <is>
          <t>Concepto</t>
        </is>
      </c>
      <c r="C38" s="26" t="inlineStr">
        <is>
          <t>Detalle</t>
        </is>
      </c>
      <c r="D38" s="26" t="inlineStr">
        <is>
          <t>Cantidad</t>
        </is>
      </c>
      <c r="E38" s="26" t="inlineStr">
        <is>
          <t>Valor unit. (CLP)</t>
        </is>
      </c>
      <c r="F38" s="26" t="inlineStr">
        <is>
          <t>Costo (CLP)</t>
        </is>
      </c>
      <c r="G38" s="26" t="inlineStr">
        <is>
          <t>Observación</t>
        </is>
      </c>
      <c r="H38" s="26" t="inlineStr">
        <is>
          <t>Estado</t>
        </is>
      </c>
    </row>
    <row r="39" ht="30" customHeight="1">
      <c r="B39" s="24" t="inlineStr">
        <is>
          <t>Internet y electricidad (trabajo remoto)</t>
        </is>
      </c>
      <c r="C39" s="24" t="inlineStr">
        <is>
          <t>Persona-mes</t>
        </is>
      </c>
      <c r="D39" s="19">
        <f>2*$C$7</f>
        <v/>
      </c>
      <c r="E39" s="9" t="n">
        <v>25000</v>
      </c>
      <c r="F39" s="10">
        <f>D39*E39</f>
        <v/>
      </c>
      <c r="G39" s="24" t="inlineStr">
        <is>
          <t>Supuesto: $25.000 mensuales por integrante.</t>
        </is>
      </c>
      <c r="H39" s="24" t="inlineStr">
        <is>
          <t>Estimado</t>
        </is>
      </c>
    </row>
    <row r="40" ht="30" customHeight="1">
      <c r="B40" s="24" t="inlineStr">
        <is>
          <t>Depreciación de notebooks propios</t>
        </is>
      </c>
      <c r="C40" s="24" t="inlineStr">
        <is>
          <t>Equipo-mes</t>
        </is>
      </c>
      <c r="D40" s="19">
        <f>2*$C$7</f>
        <v/>
      </c>
      <c r="E40" s="10">
        <f>ROUND($C$11/$C$12,0)</f>
        <v/>
      </c>
      <c r="F40" s="10">
        <f>D40*E40</f>
        <v/>
      </c>
      <c r="G40" s="24" t="inlineStr">
        <is>
          <t>Valor del equipo / vida útil. No se compran equipos nuevos.</t>
        </is>
      </c>
      <c r="H40" s="24" t="inlineStr">
        <is>
          <t>Estimado</t>
        </is>
      </c>
    </row>
    <row r="41" ht="30" customHeight="1">
      <c r="B41" s="24" t="inlineStr">
        <is>
          <t>Impresión y material de la presentación final</t>
        </is>
      </c>
      <c r="C41" s="24" t="inlineStr">
        <is>
          <t>Global</t>
        </is>
      </c>
      <c r="D41" s="17" t="n">
        <v>1</v>
      </c>
      <c r="E41" s="9" t="n">
        <v>30000</v>
      </c>
      <c r="F41" s="10">
        <f>D41*E41</f>
        <v/>
      </c>
      <c r="G41" s="24" t="inlineStr">
        <is>
          <t>Supuesto del equipo.</t>
        </is>
      </c>
      <c r="H41" s="24" t="inlineStr">
        <is>
          <t>Estimado</t>
        </is>
      </c>
    </row>
    <row r="42" ht="30" customHeight="1">
      <c r="B42" s="24" t="inlineStr">
        <is>
          <t>Herramientas de desarrollo y diseño</t>
        </is>
      </c>
      <c r="C42" s="24" t="inlineStr">
        <is>
          <t>VS Code, DBeaver, Figma y GitHub Desktop (versiones gratuitas o académicas)</t>
        </is>
      </c>
      <c r="D42" s="17" t="n">
        <v>1</v>
      </c>
      <c r="E42" s="9" t="n">
        <v>0</v>
      </c>
      <c r="F42" s="10">
        <f>D42*E42</f>
        <v/>
      </c>
      <c r="G42" s="24" t="inlineStr">
        <is>
          <t>Versiones gratuitas o académicas.</t>
        </is>
      </c>
      <c r="H42" s="24" t="inlineStr">
        <is>
          <t>Estimado</t>
        </is>
      </c>
    </row>
    <row r="43" ht="30" customHeight="1">
      <c r="B43" s="29" t="inlineStr">
        <is>
          <t>Subtotal otros costos (desembolso)</t>
        </is>
      </c>
      <c r="C43" s="35" t="n"/>
      <c r="D43" s="35" t="n"/>
      <c r="E43" s="36" t="n"/>
      <c r="F43" s="13">
        <f>SUM(F39:F42)</f>
        <v/>
      </c>
      <c r="G43" s="12" t="n"/>
    </row>
    <row r="44" ht="30" customHeight="1">
      <c r="B44" s="7" t="n"/>
      <c r="C44" s="7" t="n"/>
      <c r="D44" s="7" t="n"/>
      <c r="E44" s="7" t="n"/>
      <c r="F44" s="7" t="n"/>
      <c r="G44" s="7" t="n"/>
    </row>
    <row r="45" ht="30" customHeight="1">
      <c r="B45" s="26" t="inlineStr">
        <is>
          <t>4. RESUMEN DEL PRESUPUESTO ESTIMADO</t>
        </is>
      </c>
      <c r="C45" s="35" t="n"/>
      <c r="D45" s="35" t="n"/>
      <c r="E45" s="35" t="n"/>
      <c r="F45" s="35" t="n"/>
      <c r="G45" s="35" t="n"/>
      <c r="H45" s="36" t="n"/>
    </row>
    <row r="46" ht="30" customHeight="1">
      <c r="B46" s="26" t="inlineStr">
        <is>
          <t>Concepto</t>
        </is>
      </c>
      <c r="C46" s="35" t="n"/>
      <c r="D46" s="35" t="n"/>
      <c r="E46" s="36" t="n"/>
      <c r="F46" s="26" t="inlineStr">
        <is>
          <t>Monto (CLP)</t>
        </is>
      </c>
      <c r="G46" s="26" t="inlineStr">
        <is>
          <t>Observación</t>
        </is>
      </c>
    </row>
    <row r="47" ht="30" customHeight="1">
      <c r="B47" s="24" t="inlineStr">
        <is>
          <t>Desembolso en efectivo (infraestructura + otros costos)</t>
        </is>
      </c>
      <c r="C47" s="35" t="n"/>
      <c r="D47" s="35" t="n"/>
      <c r="E47" s="36" t="n"/>
      <c r="F47" s="10">
        <f>F35+F43+F70</f>
        <v/>
      </c>
      <c r="G47" s="30" t="inlineStr">
        <is>
          <t>Dinero que realmente se paga. Incluye los trámites de la sección 6, hoy registrados en $0 por falta de cotización.</t>
        </is>
      </c>
    </row>
    <row r="48" ht="30" customHeight="1">
      <c r="B48" s="24" t="inlineStr">
        <is>
          <t>Recurso humano valorizado</t>
        </is>
      </c>
      <c r="C48" s="35" t="n"/>
      <c r="D48" s="35" t="n"/>
      <c r="E48" s="36" t="n"/>
      <c r="F48" s="10">
        <f>F22</f>
        <v/>
      </c>
      <c r="G48" s="30" t="inlineStr">
        <is>
          <t>Referencia de mercado; el equipo no recibe pago.</t>
        </is>
      </c>
    </row>
    <row r="49" ht="30" customHeight="1">
      <c r="B49" s="28" t="inlineStr">
        <is>
          <t>Subtotal del proyecto</t>
        </is>
      </c>
      <c r="C49" s="35" t="n"/>
      <c r="D49" s="35" t="n"/>
      <c r="E49" s="36" t="n"/>
      <c r="F49" s="20">
        <f>F47+F48</f>
        <v/>
      </c>
      <c r="G49" s="21" t="n"/>
    </row>
    <row r="50" ht="30" customHeight="1">
      <c r="B50" s="24" t="inlineStr">
        <is>
          <t>Contingencia</t>
        </is>
      </c>
      <c r="C50" s="35" t="n"/>
      <c r="D50" s="35" t="n"/>
      <c r="E50" s="36" t="n"/>
      <c r="F50" s="10">
        <f>F49*$C$10</f>
        <v/>
      </c>
      <c r="G50" s="30" t="inlineStr">
        <is>
          <t>Porcentaje definido en los supuestos.</t>
        </is>
      </c>
    </row>
    <row r="51" ht="30" customHeight="1">
      <c r="B51" s="29" t="inlineStr">
        <is>
          <t>TOTAL PRESUPUESTO ESTIMADO</t>
        </is>
      </c>
      <c r="C51" s="35" t="n"/>
      <c r="D51" s="35" t="n"/>
      <c r="E51" s="36" t="n"/>
      <c r="F51" s="13">
        <f>F49+F50</f>
        <v/>
      </c>
      <c r="G51" s="14" t="inlineStr">
        <is>
          <t>Valor total del proyecto.</t>
        </is>
      </c>
    </row>
    <row r="52" ht="30" customHeight="1">
      <c r="B52" s="24" t="inlineStr">
        <is>
          <t>Total presupuesto estimado en USD</t>
        </is>
      </c>
      <c r="C52" s="35" t="n"/>
      <c r="D52" s="35" t="n"/>
      <c r="E52" s="36" t="n"/>
      <c r="F52" s="22">
        <f>F51/$C$6</f>
        <v/>
      </c>
      <c r="G52" s="30" t="inlineStr">
        <is>
          <t>Según el tipo de cambio supuesto.</t>
        </is>
      </c>
    </row>
    <row r="53" ht="30" customHeight="1">
      <c r="B53" s="25" t="inlineStr">
        <is>
          <t>Desembolso en efectivo con contingencia</t>
        </is>
      </c>
      <c r="C53" s="35" t="n"/>
      <c r="D53" s="35" t="n"/>
      <c r="E53" s="36" t="n"/>
      <c r="F53" s="23">
        <f>F47*(1+$C$10)</f>
        <v/>
      </c>
      <c r="G53" s="30" t="inlineStr">
        <is>
          <t>Monto mínimo a tener disponible.</t>
        </is>
      </c>
    </row>
    <row r="54" ht="30" customHeight="1">
      <c r="B54" s="7" t="n"/>
      <c r="C54" s="7" t="n"/>
      <c r="D54" s="7" t="n"/>
      <c r="E54" s="7" t="n"/>
      <c r="F54" s="7" t="n"/>
      <c r="G54" s="7" t="n"/>
    </row>
    <row r="55" ht="30" customHeight="1">
      <c r="B55" s="26" t="inlineStr">
        <is>
          <t>5. PROYECCIÓN ANUAL DE CONTINUIDAD (OPCIÓN B) – REFERENCIAL, NO INCLUIDA EN EL TOTAL</t>
        </is>
      </c>
      <c r="C55" s="35" t="n"/>
      <c r="D55" s="35" t="n"/>
      <c r="E55" s="35" t="n"/>
      <c r="F55" s="35" t="n"/>
      <c r="G55" s="35" t="n"/>
      <c r="H55" s="36" t="n"/>
    </row>
    <row r="56" ht="30" customHeight="1">
      <c r="B56" s="26" t="inlineStr">
        <is>
          <t>Escenario</t>
        </is>
      </c>
      <c r="C56" s="26" t="inlineStr">
        <is>
          <t>Detalle</t>
        </is>
      </c>
      <c r="D56" s="26" t="inlineStr">
        <is>
          <t>Meses</t>
        </is>
      </c>
      <c r="E56" s="26" t="inlineStr">
        <is>
          <t>Valor mensual (USD)</t>
        </is>
      </c>
      <c r="F56" s="26" t="inlineStr">
        <is>
          <t>Costo (CLP)</t>
        </is>
      </c>
      <c r="G56" s="26" t="inlineStr">
        <is>
          <t>Observación</t>
        </is>
      </c>
    </row>
    <row r="57" ht="30" customHeight="1">
      <c r="B57" s="24" t="inlineStr">
        <is>
          <t>Mínimo mensual</t>
        </is>
      </c>
      <c r="C57" s="24" t="inlineStr">
        <is>
          <t>Infraestructura productiva</t>
        </is>
      </c>
      <c r="D57" s="17" t="n">
        <v>1</v>
      </c>
      <c r="E57" s="18" t="n">
        <v>100</v>
      </c>
      <c r="F57" s="10">
        <f>D57*E57*$C$6</f>
        <v/>
      </c>
      <c r="G57" s="24" t="inlineStr">
        <is>
          <t>Rango del informe: USD 100 a 120 al mes.</t>
        </is>
      </c>
    </row>
    <row r="58" ht="30" customHeight="1">
      <c r="B58" s="24" t="inlineStr">
        <is>
          <t>Máximo mensual</t>
        </is>
      </c>
      <c r="C58" s="24" t="inlineStr">
        <is>
          <t>Infraestructura productiva</t>
        </is>
      </c>
      <c r="D58" s="17" t="n">
        <v>1</v>
      </c>
      <c r="E58" s="18" t="n">
        <v>120</v>
      </c>
      <c r="F58" s="10">
        <f>D58*E58*$C$6</f>
        <v/>
      </c>
      <c r="G58" s="24" t="inlineStr">
        <is>
          <t>Rango del informe: USD 100 a 120 al mes.</t>
        </is>
      </c>
    </row>
    <row r="59" ht="30" customHeight="1">
      <c r="B59" s="24" t="inlineStr">
        <is>
          <t>Mínimo anual</t>
        </is>
      </c>
      <c r="C59" s="24" t="inlineStr">
        <is>
          <t>Primer año en producción</t>
        </is>
      </c>
      <c r="D59" s="17" t="n">
        <v>12</v>
      </c>
      <c r="E59" s="18" t="n">
        <v>100</v>
      </c>
      <c r="F59" s="10">
        <f>D59*E59*$C$6</f>
        <v/>
      </c>
      <c r="G59" s="24" t="inlineStr">
        <is>
          <t>Proyección de continuidad.</t>
        </is>
      </c>
    </row>
    <row r="60" ht="30" customHeight="1">
      <c r="B60" s="24" t="inlineStr">
        <is>
          <t>Máximo anual</t>
        </is>
      </c>
      <c r="C60" s="24" t="inlineStr">
        <is>
          <t>Primer año en producción</t>
        </is>
      </c>
      <c r="D60" s="17" t="n">
        <v>12</v>
      </c>
      <c r="E60" s="18" t="n">
        <v>120</v>
      </c>
      <c r="F60" s="10">
        <f>D60*E60*$C$6</f>
        <v/>
      </c>
      <c r="G60" s="24" t="inlineStr">
        <is>
          <t>Más comisiones Webpay por transacción (variables, no incluidas).</t>
        </is>
      </c>
    </row>
    <row r="61" ht="30" customHeight="1">
      <c r="B61" s="7" t="n"/>
      <c r="C61" s="7" t="n"/>
      <c r="D61" s="7" t="n"/>
      <c r="E61" s="7" t="n"/>
      <c r="F61" s="7" t="n"/>
      <c r="G61" s="7" t="n"/>
    </row>
    <row r="62" ht="30" customHeight="1">
      <c r="B62" s="27" t="n"/>
    </row>
    <row r="63" ht="15" customHeight="1">
      <c r="B63" s="26" t="inlineStr">
        <is>
          <t>6. TRÁMITES DE CONSTITUCIÓN, SII Y PATENTE MUNICIPAL – UN REGISTRO POR CONCEPTO (MONTOS NO COTIZADOS)</t>
        </is>
      </c>
      <c r="C63" s="35" t="n"/>
      <c r="D63" s="35" t="n"/>
      <c r="E63" s="35" t="n"/>
      <c r="F63" s="35" t="n"/>
      <c r="G63" s="35" t="n"/>
      <c r="H63" s="36" t="n"/>
    </row>
    <row r="64" ht="30" customHeight="1">
      <c r="B64" s="26" t="inlineStr">
        <is>
          <t>Concepto</t>
        </is>
      </c>
      <c r="C64" s="26" t="inlineStr">
        <is>
          <t>Naturaleza</t>
        </is>
      </c>
      <c r="D64" s="26" t="inlineStr">
        <is>
          <t>Cantidad</t>
        </is>
      </c>
      <c r="E64" s="26" t="inlineStr">
        <is>
          <t>Valor unit. (CLP)</t>
        </is>
      </c>
      <c r="F64" s="26" t="inlineStr">
        <is>
          <t>Costo (CLP)</t>
        </is>
      </c>
      <c r="G64" s="26" t="inlineStr">
        <is>
          <t>Observación</t>
        </is>
      </c>
      <c r="H64" s="26" t="inlineStr">
        <is>
          <t>Estado</t>
        </is>
      </c>
    </row>
    <row r="65" ht="75" customHeight="1">
      <c r="B65" s="24" t="inlineStr">
        <is>
          <t>Constitución de la empresa (EIRL o SpA) y firma ante notario</t>
        </is>
      </c>
      <c r="C65" s="24" t="inlineStr">
        <is>
          <t>Trámite legal y notarial</t>
        </is>
      </c>
      <c r="D65" s="8" t="n">
        <v>1</v>
      </c>
      <c r="E65" s="38" t="n">
        <v>0</v>
      </c>
      <c r="F65" s="10">
        <f>D65*E65</f>
        <v/>
      </c>
      <c r="G65" s="24" t="inlineStr">
        <is>
          <t>Registro único del concepto: no se repite en otras filas de esta planilla ni en el Plan de Calidad y de Costos. Sin monto cotizado: se deja en $0 y el total se recalcula al ingresar el valor unitario.</t>
        </is>
      </c>
      <c r="H65" s="24" t="inlineStr">
        <is>
          <t>Pendiente de cotización</t>
        </is>
      </c>
    </row>
    <row r="66" ht="60" customHeight="1">
      <c r="B66" s="24" t="inlineStr">
        <is>
          <t>Inscripción en el Registro de Empresas y Sociedades</t>
        </is>
      </c>
      <c r="C66" s="24" t="inlineStr">
        <is>
          <t>Trámite legal</t>
        </is>
      </c>
      <c r="D66" s="8" t="n">
        <v>1</v>
      </c>
      <c r="E66" s="38" t="n">
        <v>0</v>
      </c>
      <c r="F66" s="10">
        <f>D66*E66</f>
        <v/>
      </c>
      <c r="G66" s="24" t="inlineStr">
        <is>
          <t>Supuesto a validar: la inscripción en línea no tendría costo directo para el usuario. Confirmar en el sitio del Registro de Empresas y Sociedades antes de usarlo como referencia.</t>
        </is>
      </c>
      <c r="H66" s="24" t="inlineStr">
        <is>
          <t>Pendiente de confirmación</t>
        </is>
      </c>
    </row>
    <row r="67" ht="75" customHeight="1">
      <c r="B67" s="24" t="inlineStr">
        <is>
          <t>Inicio de actividades ante el SII</t>
        </is>
      </c>
      <c r="C67" s="24" t="inlineStr">
        <is>
          <t>Trámite tributario</t>
        </is>
      </c>
      <c r="D67" s="8" t="n">
        <v>1</v>
      </c>
      <c r="E67" s="38" t="n">
        <v>0</v>
      </c>
      <c r="F67" s="10">
        <f>D67*E67</f>
        <v/>
      </c>
      <c r="G67" s="24" t="inlineStr">
        <is>
          <t>Se realiza en línea en el sitio del SII y es requisito para emitir documentos tributarios. Supuesto a validar: no tendría costo directo; si se requiere firma electrónica avanzada, su valor debe cotizarse aparte.</t>
        </is>
      </c>
      <c r="H67" s="24" t="inlineStr">
        <is>
          <t>Pendiente de confirmación</t>
        </is>
      </c>
    </row>
    <row r="68" ht="45" customHeight="1">
      <c r="B68" s="24" t="inlineStr">
        <is>
          <t>Patente municipal (permiso de funcionamiento)</t>
        </is>
      </c>
      <c r="C68" s="24" t="inlineStr">
        <is>
          <t>Trámite municipal</t>
        </is>
      </c>
      <c r="D68" s="8" t="n">
        <v>1</v>
      </c>
      <c r="E68" s="38" t="n">
        <v>0</v>
      </c>
      <c r="F68" s="10">
        <f>D68*E68</f>
        <v/>
      </c>
      <c r="G68" s="24" t="inlineStr">
        <is>
          <t>El valor depende de la comuna y del capital declarado. Debe cotizarse en la municipalidad del domicilio comercial.</t>
        </is>
      </c>
      <c r="H68" s="24" t="inlineStr">
        <is>
          <t>Pendiente de cotización</t>
        </is>
      </c>
    </row>
    <row r="69" ht="60" customHeight="1">
      <c r="B69" s="24" t="inlineStr">
        <is>
          <t>Habilitación de facturación y boleta electrónica del SII</t>
        </is>
      </c>
      <c r="C69" s="24" t="inlineStr">
        <is>
          <t>Trámite tributario</t>
        </is>
      </c>
      <c r="D69" s="8" t="n">
        <v>1</v>
      </c>
      <c r="E69" s="38" t="n">
        <v>0</v>
      </c>
      <c r="F69" s="10">
        <f>D69*E69</f>
        <v/>
      </c>
      <c r="G69" s="24" t="inlineStr">
        <is>
          <t>Supuesto a validar: el SII ofrece un sistema de facturación electrónica sin costo para el contribuyente. Confirmar antes de darlo por gratuito. No duplica el inicio de actividades.</t>
        </is>
      </c>
      <c r="H69" s="24" t="inlineStr">
        <is>
          <t>Pendiente de confirmación</t>
        </is>
      </c>
    </row>
    <row r="70" ht="30" customHeight="1">
      <c r="B70" s="29" t="inlineStr">
        <is>
          <t>Subtotal trámites (registrado en $0 hasta contar con cotización)</t>
        </is>
      </c>
      <c r="C70" s="35" t="n"/>
      <c r="D70" s="35" t="n"/>
      <c r="E70" s="36" t="n"/>
      <c r="F70" s="13">
        <f>SUM(F65:F69)</f>
        <v/>
      </c>
      <c r="G70" s="29" t="inlineStr">
        <is>
          <t>No altera el total estimado mientras no exista un monto cotizado. Al reemplazar los valores unitarios, el desembolso en efectivo (sección 4) se recalcula solo.</t>
        </is>
      </c>
    </row>
    <row r="72" ht="15" customHeight="1">
      <c r="B72" s="26" t="inlineStr">
        <is>
          <t>7. RESOLUCIÓN SANITARIA Y ALCANCE DE PRODUCTOS (CONDICIÓN POR VALIDAR CON LA AUTORIDAD SANITARIA)</t>
        </is>
      </c>
      <c r="C72" s="35" t="n"/>
      <c r="D72" s="35" t="n"/>
      <c r="E72" s="35" t="n"/>
      <c r="F72" s="35" t="n"/>
      <c r="G72" s="35" t="n"/>
      <c r="H72" s="36" t="n"/>
    </row>
    <row r="73" ht="30" customHeight="1">
      <c r="B73" s="26" t="inlineStr">
        <is>
          <t>Alternativa</t>
        </is>
      </c>
      <c r="C73" s="26" t="inlineStr">
        <is>
          <t>Alcance de la oferta</t>
        </is>
      </c>
      <c r="D73" s="26" t="inlineStr">
        <is>
          <t>Cantidad</t>
        </is>
      </c>
      <c r="E73" s="26" t="inlineStr">
        <is>
          <t>Valor unit. (CLP)</t>
        </is>
      </c>
      <c r="F73" s="26" t="inlineStr">
        <is>
          <t>Costo (CLP)</t>
        </is>
      </c>
      <c r="G73" s="26" t="inlineStr">
        <is>
          <t>Observación</t>
        </is>
      </c>
      <c r="H73" s="26" t="inlineStr">
        <is>
          <t>Estado</t>
        </is>
      </c>
    </row>
    <row r="74" ht="120" customHeight="1">
      <c r="B74" s="24" t="inlineStr">
        <is>
          <t>Alternativa A: oferta limitada a productos sin procesar (recomendada para el MVP)</t>
        </is>
      </c>
      <c r="C74" s="24" t="inlineStr">
        <is>
          <t>Frutas, verduras y huevos sin procesar, sin elaboración ni envasado propio</t>
        </is>
      </c>
      <c r="D74" s="8" t="n">
        <v>1</v>
      </c>
      <c r="E74" s="38" t="n">
        <v>0</v>
      </c>
      <c r="F74" s="10">
        <f>D74*E74</f>
        <v/>
      </c>
      <c r="G74" s="24" t="inlineStr">
        <is>
          <t>Efecto analizado: reduce la exposición a exigencias sanitarias de elaboración y etiquetado, pero la necesidad de resolución sanitaria sigue siendo una condición por validar con la SEREMI de Salud, porque depende del tipo de producto, del lugar de acopio y del transporte. No se afirma que sea exigible ni que deje de serlo.</t>
        </is>
      </c>
      <c r="H74" s="24" t="inlineStr">
        <is>
          <t>Pendiente de confirmación</t>
        </is>
      </c>
    </row>
    <row r="75" ht="60" customHeight="1">
      <c r="B75" s="24" t="inlineStr">
        <is>
          <t>Alternativa B: oferta con productos procesados o envasados (no adoptada)</t>
        </is>
      </c>
      <c r="C75" s="24" t="inlineStr">
        <is>
          <t>Productos elaborados, envasados o con etiquetado propio</t>
        </is>
      </c>
      <c r="D75" s="8" t="n">
        <v>1</v>
      </c>
      <c r="E75" s="38" t="n">
        <v>0</v>
      </c>
      <c r="F75" s="10">
        <f>D75*E75</f>
        <v/>
      </c>
      <c r="G75" s="24" t="inlineStr">
        <is>
          <t>Aumenta la exposición a exigencias sanitarias del elaborador o de la bodega y a requisitos de etiquetado, con posible inversión y plazos adicionales.</t>
        </is>
      </c>
      <c r="H75" s="24" t="inlineStr">
        <is>
          <t>Pendiente de cotización</t>
        </is>
      </c>
    </row>
    <row r="76" ht="60" customHeight="1">
      <c r="B76" s="24" t="inlineStr">
        <is>
          <t>Etiquetado y transporte de alimentos</t>
        </is>
      </c>
      <c r="C76" s="24" t="inlineStr">
        <is>
          <t>Información del producto y condiciones del traslado</t>
        </is>
      </c>
      <c r="D76" s="8" t="n">
        <v>1</v>
      </c>
      <c r="E76" s="38" t="n">
        <v>0</v>
      </c>
      <c r="F76" s="10">
        <f>D76*E76</f>
        <v/>
      </c>
      <c r="G76" s="24" t="inlineStr">
        <is>
          <t>Condición por validar con la autoridad sanitaria y con los requisitos aplicables. No se declara como obligación vigente del MVP ni como gasto comprometido.</t>
        </is>
      </c>
      <c r="H76" s="24" t="inlineStr">
        <is>
          <t>Pendiente de confirmación</t>
        </is>
      </c>
    </row>
    <row r="77" ht="30" customHeight="1">
      <c r="B77" s="29" t="inlineStr">
        <is>
          <t>Subtotal resolución sanitaria y etiquetado (sin cotización)</t>
        </is>
      </c>
      <c r="C77" s="35" t="n"/>
      <c r="D77" s="35" t="n"/>
      <c r="E77" s="36" t="n"/>
      <c r="F77" s="13">
        <f>SUM(F74:F76)</f>
        <v/>
      </c>
      <c r="G77" s="29" t="inlineStr">
        <is>
          <t>Se mantiene en $0: no hay cotización ni pronunciamiento de la autoridad sanitaria.</t>
        </is>
      </c>
    </row>
    <row r="79" ht="15" customHeight="1">
      <c r="B79" s="26" t="inlineStr">
        <is>
          <t>8. DELIVERY: ALTERNATIVAS EVALUADAS (COSTOS, INGRESOS Y RIESGOS)</t>
        </is>
      </c>
      <c r="C79" s="35" t="n"/>
      <c r="D79" s="35" t="n"/>
      <c r="E79" s="35" t="n"/>
      <c r="F79" s="35" t="n"/>
      <c r="G79" s="35" t="n"/>
      <c r="H79" s="36" t="n"/>
    </row>
    <row r="80" ht="30" customHeight="1">
      <c r="B80" s="26" t="inlineStr">
        <is>
          <t>Alternativa</t>
        </is>
      </c>
      <c r="C80" s="26" t="inlineStr">
        <is>
          <t>Descripción</t>
        </is>
      </c>
      <c r="D80" s="26" t="inlineStr">
        <is>
          <t>Cantidad</t>
        </is>
      </c>
      <c r="E80" s="26" t="inlineStr">
        <is>
          <t>Valor unit. (CLP)</t>
        </is>
      </c>
      <c r="F80" s="26" t="inlineStr">
        <is>
          <t>Costo (CLP)</t>
        </is>
      </c>
      <c r="G80" s="26" t="inlineStr">
        <is>
          <t>Observación</t>
        </is>
      </c>
      <c r="H80" s="26" t="inlineStr">
        <is>
          <t>Estado</t>
        </is>
      </c>
    </row>
    <row r="81" ht="135" customHeight="1">
      <c r="B81" s="24" t="inlineStr">
        <is>
          <t>1. Despacho a cargo del productor (ADOPTADA: línea base del MVP)</t>
        </is>
      </c>
      <c r="C81" s="24" t="inlineStr">
        <is>
          <t>El Vendedor entrega el pedido y lo cierra con el código de verificación (RF-007 y RF-025)</t>
        </is>
      </c>
      <c r="D81" s="8" t="n">
        <v>1</v>
      </c>
      <c r="E81" s="38" t="n">
        <v>0</v>
      </c>
      <c r="F81" s="10">
        <f>D81*E81</f>
        <v/>
      </c>
      <c r="G81" s="24" t="inlineStr">
        <is>
          <t>Adoptada porque es la definida en el ERS: no exige inversión ni contratación de terceros y su costo para CuTuCo es $0. En ingresos, la tarifa fija de $3.500 por pedido se descuenta en el Split Payment (RF-014); la contraprestación asociada a esa tarifa está pendiente de confirmación. Riesgo: la entrega depende de la capacidad de cada productor y CuTuCo no tiene respaldo logístico propio.</t>
        </is>
      </c>
      <c r="H81" s="24" t="inlineStr">
        <is>
          <t>Confirmado</t>
        </is>
      </c>
    </row>
    <row r="82" ht="75" customHeight="1">
      <c r="B82" s="24" t="inlineStr">
        <is>
          <t>2. Reparto externalizado (evaluada, no contratada)</t>
        </is>
      </c>
      <c r="C82" s="24" t="inlineStr">
        <is>
          <t>Empresa de reparto o red de repartidores externos con tarifa por entrega</t>
        </is>
      </c>
      <c r="D82" s="8" t="n">
        <v>1</v>
      </c>
      <c r="E82" s="38" t="n">
        <v>0</v>
      </c>
      <c r="F82" s="10">
        <f>D82*E82</f>
        <v/>
      </c>
      <c r="G82" s="24" t="inlineStr">
        <is>
          <t>Sin inversión en flota, con costo variable por pedido y dependencia de terceros. Exige definir si la tarifa fija de $3.500 cubre la entrega. No se contrata durante el MVP.</t>
        </is>
      </c>
      <c r="H82" s="24" t="inlineStr">
        <is>
          <t>Pendiente de cotización</t>
        </is>
      </c>
    </row>
    <row r="83" ht="75" customHeight="1">
      <c r="B83" s="24" t="inlineStr">
        <is>
          <t>3. Flota y repartidores propios (evaluada, no contratada)</t>
        </is>
      </c>
      <c r="C83" s="24" t="inlineStr">
        <is>
          <t>Camiones, furgones o motos propios y repartidores contratados</t>
        </is>
      </c>
      <c r="D83" s="8" t="n">
        <v>1</v>
      </c>
      <c r="E83" s="38" t="n">
        <v>0</v>
      </c>
      <c r="F83" s="10">
        <f>D83*E83</f>
        <v/>
      </c>
      <c r="G83" s="24" t="inlineStr">
        <is>
          <t>Entrega controlada, con inversión inicial y costo fijo mensual (vehículos, combustible, seguros y remuneraciones). No se contrata: depende del volumen real de pedidos y de una decisión formal de inversión.</t>
        </is>
      </c>
      <c r="H83" s="24" t="inlineStr">
        <is>
          <t>Pendiente de cotización</t>
        </is>
      </c>
    </row>
    <row r="84" ht="45" customHeight="1">
      <c r="B84" s="29" t="inlineStr">
        <is>
          <t>Subtotal delivery (alternativas no contratadas, sin cotización)</t>
        </is>
      </c>
      <c r="C84" s="35" t="n"/>
      <c r="D84" s="35" t="n"/>
      <c r="E84" s="36" t="n"/>
      <c r="F84" s="13">
        <f>SUM(F81:F83)</f>
        <v/>
      </c>
      <c r="G84" s="29" t="inlineStr">
        <is>
          <t>Criterio de decisión: se adopta la alternativa 1 por ser la línea base del MVP y no generar desembolso. Las alternativas 2 y 3 se reevalúan solo si el volumen de pedidos lo justifica, con cotización y presupuesto aprobado.</t>
        </is>
      </c>
    </row>
    <row r="86" ht="15" customHeight="1">
      <c r="B86" s="26" t="inlineStr">
        <is>
          <t>9. CONDICIONES TRIBUTARIAS, COMERCIALES, SANITARIAS Y OPERATIVAS A VALIDAR</t>
        </is>
      </c>
      <c r="C86" s="35" t="n"/>
      <c r="D86" s="35" t="n"/>
      <c r="E86" s="35" t="n"/>
      <c r="F86" s="35" t="n"/>
      <c r="G86" s="35" t="n"/>
      <c r="H86" s="36" t="n"/>
    </row>
    <row r="87" ht="30" customHeight="1">
      <c r="B87" s="26" t="inlineStr">
        <is>
          <t>Tema</t>
        </is>
      </c>
      <c r="C87" s="26" t="inlineStr">
        <is>
          <t>Qué se debe validar y efecto en el presupuesto</t>
        </is>
      </c>
      <c r="D87" s="35" t="n"/>
      <c r="E87" s="35" t="n"/>
      <c r="F87" s="36" t="n"/>
      <c r="G87" s="26" t="inlineStr">
        <is>
          <t>Nota</t>
        </is>
      </c>
      <c r="H87" s="26" t="inlineStr">
        <is>
          <t>Estado</t>
        </is>
      </c>
    </row>
    <row r="88" ht="60" customHeight="1">
      <c r="B88" s="24" t="inlineStr">
        <is>
          <t>IVA y boleta electrónica</t>
        </is>
      </c>
      <c r="C88" s="24" t="inlineStr">
        <is>
          <t>El ERS define boleta a consumidor final con RUT genérico 66.666.666-6 y factura cuando el comprador es una empresa (B2B). Falta confirmar el tratamiento del IVA sobre la comisión y sobre la tarifa fija por pedido, y si los montos del fee se expresan con o sin IVA. Efecto en el presupuesto: por definir.</t>
        </is>
      </c>
      <c r="D88" s="35" t="n"/>
      <c r="E88" s="35" t="n"/>
      <c r="F88" s="36" t="n"/>
      <c r="G88" s="24" t="inlineStr">
        <is>
          <t>Requiere revisión de un contador; pendiente de confirmación.</t>
        </is>
      </c>
      <c r="H88" s="24" t="inlineStr">
        <is>
          <t>Pendiente de confirmación</t>
        </is>
      </c>
    </row>
    <row r="89" ht="45" customHeight="1">
      <c r="B89" s="24" t="inlineStr">
        <is>
          <t>Patente municipal</t>
        </is>
      </c>
      <c r="C89" s="24" t="inlineStr">
        <is>
          <t>Aplicabilidad, comuna y base de cálculo del permiso de funcionamiento. Efecto: costo periódico no incluido en el total hasta contar con cotización.</t>
        </is>
      </c>
      <c r="D89" s="35" t="n"/>
      <c r="E89" s="35" t="n"/>
      <c r="F89" s="36" t="n"/>
      <c r="G89" s="24" t="inlineStr">
        <is>
          <t>Registrada en la sección 6.</t>
        </is>
      </c>
      <c r="H89" s="24" t="inlineStr">
        <is>
          <t>Pendiente de cotización</t>
        </is>
      </c>
    </row>
    <row r="90" ht="45" customHeight="1">
      <c r="B90" s="24" t="inlineStr">
        <is>
          <t>Resolución sanitaria</t>
        </is>
      </c>
      <c r="C90" s="24" t="inlineStr">
        <is>
          <t>Aplicabilidad según el tipo de producto, el lugar de acopio y el transporte. Efecto: podría exigir habilitación de bodega o de sala de proceso, hoy no presupuestada.</t>
        </is>
      </c>
      <c r="D90" s="35" t="n"/>
      <c r="E90" s="35" t="n"/>
      <c r="F90" s="36" t="n"/>
      <c r="G90" s="24" t="inlineStr">
        <is>
          <t>Analizada en la sección 7.</t>
        </is>
      </c>
      <c r="H90" s="24" t="inlineStr">
        <is>
          <t>Pendiente de confirmación</t>
        </is>
      </c>
    </row>
    <row r="91" ht="45" customHeight="1">
      <c r="B91" s="24" t="inlineStr">
        <is>
          <t>Etiquetado de productos</t>
        </is>
      </c>
      <c r="C91" s="24" t="inlineStr">
        <is>
          <t>Información obligatoria del producto cuando corresponda (origen, peso, fecha y responsable). Efecto: diseño e impresión de etiquetas, hoy no presupuestados.</t>
        </is>
      </c>
      <c r="D91" s="35" t="n"/>
      <c r="E91" s="35" t="n"/>
      <c r="F91" s="36" t="n"/>
      <c r="G91" s="24" t="inlineStr">
        <is>
          <t>Condición por validar con la autoridad sanitaria.</t>
        </is>
      </c>
      <c r="H91" s="24" t="inlineStr">
        <is>
          <t>Pendiente de confirmación</t>
        </is>
      </c>
    </row>
    <row r="92" ht="45" customHeight="1">
      <c r="B92" s="24" t="inlineStr">
        <is>
          <t>Transporte de alimentos</t>
        </is>
      </c>
      <c r="C92" s="24" t="inlineStr">
        <is>
          <t>Condiciones del traslado (temperatura, envases y limpieza) cuando el despacho lo realiza el productor. Efecto: podría exigir envases o cajas adicionales.</t>
        </is>
      </c>
      <c r="D92" s="35" t="n"/>
      <c r="E92" s="35" t="n"/>
      <c r="F92" s="36" t="n"/>
      <c r="G92" s="24" t="inlineStr">
        <is>
          <t>Condición por validar.</t>
        </is>
      </c>
      <c r="H92" s="24" t="inlineStr">
        <is>
          <t>Pendiente de confirmación</t>
        </is>
      </c>
    </row>
    <row r="93" ht="45" customHeight="1">
      <c r="B93" s="24" t="inlineStr">
        <is>
          <t>Comisión de Transbank por transacción</t>
        </is>
      </c>
      <c r="C93" s="24" t="inlineStr">
        <is>
          <t>Monto de la comisión y quién la asume en el contrato de Webpay Mall. Efecto: si la asume CuTuCo, se descuenta del ingreso por fee y cambia el punto de equilibrio.</t>
        </is>
      </c>
      <c r="D93" s="35" t="n"/>
      <c r="E93" s="35" t="n"/>
      <c r="F93" s="36" t="n"/>
      <c r="G93" s="24" t="inlineStr">
        <is>
          <t>No incluida en el total; pendiente de confirmación.</t>
        </is>
      </c>
      <c r="H93" s="24" t="inlineStr">
        <is>
          <t>Pendiente de confirmación</t>
        </is>
      </c>
    </row>
    <row r="94" ht="45" customHeight="1">
      <c r="B94" s="24" t="inlineStr">
        <is>
          <t>Registro del Código de Comercio Mall</t>
        </is>
      </c>
      <c r="C94" s="24" t="inlineStr">
        <is>
          <t>El código se obtiene en el trámite con Transbank y es un paso posterior e independiente de la aprobación de la postulación. Mientras un productor no lo tenga, no puede operar y sus productos no se muestran en el catálogo.</t>
        </is>
      </c>
      <c r="D94" s="35" t="n"/>
      <c r="E94" s="35" t="n"/>
      <c r="F94" s="36" t="n"/>
      <c r="G94" s="24" t="inlineStr">
        <is>
          <t>Trámite fuera del flujo principal de la plataforma.</t>
        </is>
      </c>
      <c r="H94" s="24" t="inlineStr">
        <is>
          <t>Pendiente de confirmación</t>
        </is>
      </c>
    </row>
    <row r="95" ht="45" customHeight="1">
      <c r="B95" s="24" t="inlineStr">
        <is>
          <t>Datos bancarios y documentos de postulación</t>
        </is>
      </c>
      <c r="C95" s="24" t="inlineStr">
        <is>
          <t>Protección mediante RLS, policies, grants y permisos de almacenamiento de Supabase. Efecto: sin costo adicional durante el MVP.</t>
        </is>
      </c>
      <c r="D95" s="35" t="n"/>
      <c r="E95" s="35" t="n"/>
      <c r="F95" s="36" t="n"/>
      <c r="G95" s="24" t="inlineStr">
        <is>
          <t>La inscripción de la cuenta bancaria en Transbank es un trámite externo al flujo de la plataforma; los datos recibidos se protegen con RLS, policies, grants y permisos de almacenamiento.</t>
        </is>
      </c>
      <c r="H95" s="24" t="inlineStr">
        <is>
          <t>Confirmado</t>
        </is>
      </c>
    </row>
    <row r="96" ht="45" customHeight="1">
      <c r="B96" s="24" t="inlineStr">
        <is>
          <t>Suscripción mensual por productor</t>
        </is>
      </c>
      <c r="C96" s="24" t="inlineStr">
        <is>
          <t>Precio y adopción del modelo proyectado. Efecto en los ingresos: se modela desde el Año 1 como negocio proyectado.</t>
        </is>
      </c>
      <c r="D96" s="35" t="n"/>
      <c r="E96" s="35" t="n"/>
      <c r="F96" s="36" t="n"/>
      <c r="G96" s="24" t="inlineStr">
        <is>
          <t>La facturación de la suscripción no forma parte del MVP.</t>
        </is>
      </c>
      <c r="H96" s="24" t="inlineStr">
        <is>
          <t>Fuera del MVP</t>
        </is>
      </c>
    </row>
    <row r="97" ht="45" customHeight="1">
      <c r="B97" s="24" t="inlineStr">
        <is>
          <t>Delivery</t>
        </is>
      </c>
      <c r="C97" s="24" t="inlineStr">
        <is>
          <t>Alternativa adoptada y su efecto en costos, ingresos y riesgos.</t>
        </is>
      </c>
      <c r="D97" s="35" t="n"/>
      <c r="E97" s="35" t="n"/>
      <c r="F97" s="36" t="n"/>
      <c r="G97" s="24" t="inlineStr">
        <is>
          <t>Analizada en la sección 8.</t>
        </is>
      </c>
      <c r="H97" s="24" t="inlineStr">
        <is>
          <t>Confirmado</t>
        </is>
      </c>
    </row>
    <row r="99" ht="15" customHeight="1">
      <c r="B99" s="26" t="inlineStr">
        <is>
          <t>10. ESTADOS DEL PRESUPUESTO Y LEYENDA (APLICA A TODAS LAS FILAS DE ESTA HOJA)</t>
        </is>
      </c>
      <c r="C99" s="35" t="n"/>
      <c r="D99" s="35" t="n"/>
      <c r="E99" s="35" t="n"/>
      <c r="F99" s="35" t="n"/>
      <c r="G99" s="35" t="n"/>
      <c r="H99" s="36" t="n"/>
    </row>
    <row r="100" ht="30" customHeight="1">
      <c r="B100" s="26" t="inlineStr">
        <is>
          <t>Estado</t>
        </is>
      </c>
      <c r="C100" s="26" t="inlineStr">
        <is>
          <t>Significado</t>
        </is>
      </c>
      <c r="D100" s="35" t="n"/>
      <c r="E100" s="35" t="n"/>
      <c r="F100" s="35" t="n"/>
      <c r="G100" s="35" t="n"/>
      <c r="H100" s="36" t="n"/>
    </row>
    <row r="101" ht="30" customHeight="1">
      <c r="B101" s="24" t="inlineStr">
        <is>
          <t>Confirmado</t>
        </is>
      </c>
      <c r="C101" s="24" t="inlineStr">
        <is>
          <t>Monto o condición verificada en la documentación del proyecto o del proveedor. Incluye los niveles gratuitos, que hoy no generan desembolso.</t>
        </is>
      </c>
      <c r="D101" s="35" t="n"/>
      <c r="E101" s="35" t="n"/>
      <c r="F101" s="35" t="n"/>
      <c r="G101" s="35" t="n"/>
      <c r="H101" s="36" t="n"/>
    </row>
    <row r="102" ht="30" customHeight="1">
      <c r="B102" s="24" t="inlineStr">
        <is>
          <t>Estimado</t>
        </is>
      </c>
      <c r="C102" s="24" t="inlineStr">
        <is>
          <t>Referencia del equipo para el mercado chileno, sin cotización formal. Puede cambiar al momento de contratar.</t>
        </is>
      </c>
      <c r="D102" s="35" t="n"/>
      <c r="E102" s="35" t="n"/>
      <c r="F102" s="35" t="n"/>
      <c r="G102" s="35" t="n"/>
      <c r="H102" s="36" t="n"/>
    </row>
    <row r="103" ht="30" customHeight="1">
      <c r="B103" s="24" t="inlineStr">
        <is>
          <t>Valorizado</t>
        </is>
      </c>
      <c r="C103" s="24" t="inlineStr">
        <is>
          <t>Costo de referencia del trabajo del equipo a precio de mercado. No genera desembolso.</t>
        </is>
      </c>
      <c r="D103" s="35" t="n"/>
      <c r="E103" s="35" t="n"/>
      <c r="F103" s="35" t="n"/>
      <c r="G103" s="35" t="n"/>
      <c r="H103" s="36" t="n"/>
    </row>
    <row r="104" ht="30" customHeight="1">
      <c r="B104" s="24" t="inlineStr">
        <is>
          <t>Pendiente de cotización</t>
        </is>
      </c>
      <c r="C104" s="24" t="inlineStr">
        <is>
          <t>No hay monto sustentable: se registra en $0 y se incorporará al total cuando exista una cotización o un valor oficial.</t>
        </is>
      </c>
      <c r="D104" s="35" t="n"/>
      <c r="E104" s="35" t="n"/>
      <c r="F104" s="35" t="n"/>
      <c r="G104" s="35" t="n"/>
      <c r="H104" s="36" t="n"/>
    </row>
    <row r="105" ht="30" customHeight="1">
      <c r="B105" s="24" t="inlineStr">
        <is>
          <t>Pendiente de confirmación</t>
        </is>
      </c>
      <c r="C105" s="24" t="inlineStr">
        <is>
          <t>Falta validar la exigibilidad, la aplicabilidad o la cifra antes de comprometer un gasto.</t>
        </is>
      </c>
      <c r="D105" s="35" t="n"/>
      <c r="E105" s="35" t="n"/>
      <c r="F105" s="35" t="n"/>
      <c r="G105" s="35" t="n"/>
      <c r="H105" s="36" t="n"/>
    </row>
    <row r="106" ht="30" customHeight="1">
      <c r="B106" s="24" t="inlineStr">
        <is>
          <t>Fuera del MVP</t>
        </is>
      </c>
      <c r="C106" s="24" t="inlineStr">
        <is>
          <t>Concepto identificado y modelado como negocio proyectado, pero no activo en esta versión.</t>
        </is>
      </c>
      <c r="D106" s="35" t="n"/>
      <c r="E106" s="35" t="n"/>
      <c r="F106" s="35" t="n"/>
      <c r="G106" s="35" t="n"/>
      <c r="H106" s="36" t="n"/>
    </row>
  </sheetData>
  <mergeCells count="55">
    <mergeCell ref="B99:H99"/>
    <mergeCell ref="C103:H103"/>
    <mergeCell ref="D9:G9"/>
    <mergeCell ref="B49:E49"/>
    <mergeCell ref="D12:G12"/>
    <mergeCell ref="D8:G8"/>
    <mergeCell ref="C91:F91"/>
    <mergeCell ref="B55:H55"/>
    <mergeCell ref="B22:C22"/>
    <mergeCell ref="C105:H105"/>
    <mergeCell ref="B51:E51"/>
    <mergeCell ref="B5:H5"/>
    <mergeCell ref="B45:H45"/>
    <mergeCell ref="B63:H63"/>
    <mergeCell ref="B35:E35"/>
    <mergeCell ref="B50:E50"/>
    <mergeCell ref="B26:H26"/>
    <mergeCell ref="B79:H79"/>
    <mergeCell ref="C87:F87"/>
    <mergeCell ref="B4:H4"/>
    <mergeCell ref="C96:F96"/>
    <mergeCell ref="C92:F92"/>
    <mergeCell ref="C106:H106"/>
    <mergeCell ref="B47:E47"/>
    <mergeCell ref="B72:H72"/>
    <mergeCell ref="D10:G10"/>
    <mergeCell ref="B3:H3"/>
    <mergeCell ref="B46:E46"/>
    <mergeCell ref="C89:F89"/>
    <mergeCell ref="C97:F97"/>
    <mergeCell ref="B43:E43"/>
    <mergeCell ref="C88:F88"/>
    <mergeCell ref="D6:G6"/>
    <mergeCell ref="B70:E70"/>
    <mergeCell ref="B52:E52"/>
    <mergeCell ref="B48:E48"/>
    <mergeCell ref="C102:H102"/>
    <mergeCell ref="B77:E77"/>
    <mergeCell ref="B2:H2"/>
    <mergeCell ref="B86:H86"/>
    <mergeCell ref="C94:F94"/>
    <mergeCell ref="D11:G11"/>
    <mergeCell ref="C101:H101"/>
    <mergeCell ref="B62:G62"/>
    <mergeCell ref="C93:F93"/>
    <mergeCell ref="B14:H14"/>
    <mergeCell ref="B53:E53"/>
    <mergeCell ref="B1:H1"/>
    <mergeCell ref="C104:H104"/>
    <mergeCell ref="C90:F90"/>
    <mergeCell ref="D7:G7"/>
    <mergeCell ref="C95:F95"/>
    <mergeCell ref="B37:H37"/>
    <mergeCell ref="C100:H100"/>
    <mergeCell ref="B84:E84"/>
  </mergeCells>
  <pageMargins left="0.75" right="0.75" top="1" bottom="1" header="0.511811023622047" footer="0.511811023622047"/>
  <pageSetup orientation="portrait" scale="3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H88"/>
  <sheetViews>
    <sheetView showGridLines="0" zoomScale="39" zoomScaleNormal="10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14" customWidth="1" min="4" max="4"/>
    <col width="16" customWidth="1" min="5" max="5"/>
    <col width="18" customWidth="1" min="6" max="6"/>
    <col width="18" customWidth="1" min="7" max="7"/>
    <col width="52" customWidth="1" min="8" max="8"/>
  </cols>
  <sheetData>
    <row r="1" ht="18.75" customHeight="1">
      <c r="B1" s="31" t="inlineStr">
        <is>
          <t>FLUJO DE CAJA PROYECTADO Y EVALUACIÓN DE VIABILIDAD – CU TUCO</t>
        </is>
      </c>
    </row>
    <row r="2">
      <c r="B2" s="32" t="inlineStr">
        <is>
          <t>CuTuCo (Cultiva Tu Compra) – Marketplace SaaS B2B2C | Duoc UC Plaza Norte – Ingeniería en Informática</t>
        </is>
      </c>
    </row>
    <row r="3" ht="15" customHeight="1">
      <c r="B3" s="34" t="inlineStr">
        <is>
          <t>Proyección a 5 años (Año 1 a Año 5) del negocio proyectado. Moneda: pesos chilenos (CLP) nominales.</t>
        </is>
      </c>
    </row>
    <row r="4" ht="30" customHeight="1">
      <c r="B4" s="34" t="inlineStr">
        <is>
          <t>El MVP académico no factura: esta hoja modela la continuidad del negocio y no forma parte del presupuesto base de las hojas Alto, Medio y Bajo Presupuesto. Los supuestos editables están en amarillo y cada monto indica su estado (sección 6).</t>
        </is>
      </c>
    </row>
    <row r="5" ht="30" customHeight="1">
      <c r="B5" s="34" t="inlineStr">
        <is>
          <t>La proyección NO incluye captación de clientes (marketing) ni costos variables por transacción: ambos están pendientes de cotización. Por eso el VAN y la TIR deben leerse como un techo referencial, no como un resultado esperado.</t>
        </is>
      </c>
    </row>
    <row r="6" ht="15" customHeight="1">
      <c r="B6" s="26" t="inlineStr">
        <is>
          <t>1. SUPUESTOS DEL MODELO (celdas azules con fondo amarillo = editables)</t>
        </is>
      </c>
      <c r="C6" s="35" t="n"/>
      <c r="D6" s="35" t="n"/>
      <c r="E6" s="35" t="n"/>
      <c r="F6" s="35" t="n"/>
      <c r="G6" s="35" t="n"/>
      <c r="H6" s="36" t="n"/>
    </row>
    <row r="7" ht="30" customHeight="1">
      <c r="B7" s="26" t="inlineStr">
        <is>
          <t>Supuesto</t>
        </is>
      </c>
      <c r="C7" s="26" t="inlineStr">
        <is>
          <t>Valor</t>
        </is>
      </c>
      <c r="D7" s="26" t="inlineStr">
        <is>
          <t>Observación</t>
        </is>
      </c>
      <c r="E7" s="35" t="n"/>
      <c r="F7" s="35" t="n"/>
      <c r="G7" s="36" t="n"/>
      <c r="H7" s="26" t="inlineStr">
        <is>
          <t>Estado</t>
        </is>
      </c>
    </row>
    <row r="8" ht="30" customHeight="1">
      <c r="B8" s="24" t="inlineStr">
        <is>
          <t>Tipo de cambio (CLP por USD)</t>
        </is>
      </c>
      <c r="C8" s="10">
        <f>'Bajo Presupuesto'!C6</f>
        <v/>
      </c>
      <c r="D8" s="30" t="inlineStr">
        <is>
          <t>Tipo de cambio supuesto del presupuesto base (hoja Bajo Presupuesto, celda C6).</t>
        </is>
      </c>
      <c r="E8" s="35" t="n"/>
      <c r="F8" s="35" t="n"/>
      <c r="G8" s="36" t="n"/>
      <c r="H8" s="24" t="inlineStr">
        <is>
          <t>Estimado</t>
        </is>
      </c>
    </row>
    <row r="9" ht="30" customHeight="1">
      <c r="B9" s="24" t="inlineStr">
        <is>
          <t>Fee de intermediación sobre la venta</t>
        </is>
      </c>
      <c r="C9" s="6" t="n">
        <v>0.05</v>
      </c>
      <c r="D9" s="30" t="inlineStr">
        <is>
          <t>Fee base de 5% definido en el ERS (RF-005 y RF-014). Se evalúa en la sección 4.</t>
        </is>
      </c>
      <c r="E9" s="35" t="n"/>
      <c r="F9" s="35" t="n"/>
      <c r="G9" s="36" t="n"/>
      <c r="H9" s="24" t="inlineStr">
        <is>
          <t>Confirmado</t>
        </is>
      </c>
    </row>
    <row r="10" ht="30" customHeight="1">
      <c r="B10" s="24" t="inlineStr">
        <is>
          <t>Tarifa fija por pedido (CLP)</t>
        </is>
      </c>
      <c r="C10" s="38" t="n">
        <v>3500</v>
      </c>
      <c r="D10" s="30" t="inlineStr">
        <is>
          <t>Tarifa fija de delivery del ERS (RF-014), descontada en el Split Payment de Webpay Mall.</t>
        </is>
      </c>
      <c r="E10" s="35" t="n"/>
      <c r="F10" s="35" t="n"/>
      <c r="G10" s="36" t="n"/>
      <c r="H10" s="24" t="inlineStr">
        <is>
          <t>Confirmado</t>
        </is>
      </c>
    </row>
    <row r="11" ht="30" customHeight="1">
      <c r="B11" s="24" t="inlineStr">
        <is>
          <t>Ticket promedio por pedido (CLP)</t>
        </is>
      </c>
      <c r="C11" s="38" t="n">
        <v>12000</v>
      </c>
      <c r="D11" s="30" t="inlineStr">
        <is>
          <t>Supuesto del equipo: la documentación del proyecto no registra un ticket promedio. Pendiente de confirmación.</t>
        </is>
      </c>
      <c r="E11" s="35" t="n"/>
      <c r="F11" s="35" t="n"/>
      <c r="G11" s="36" t="n"/>
      <c r="H11" s="24" t="inlineStr">
        <is>
          <t>Pendiente de confirmación</t>
        </is>
      </c>
    </row>
    <row r="12" ht="30" customHeight="1">
      <c r="B12" s="24" t="inlineStr">
        <is>
          <t>Suscripción mensual por productor (CLP)</t>
        </is>
      </c>
      <c r="C12" s="38" t="n">
        <v>9900</v>
      </c>
      <c r="D12" s="30" t="inlineStr">
        <is>
          <t>Supuesto del equipo. La facturación de la suscripción no forma parte del MVP: se modela como negocio proyectado (Opción B).</t>
        </is>
      </c>
      <c r="E12" s="35" t="n"/>
      <c r="F12" s="35" t="n"/>
      <c r="G12" s="36" t="n"/>
      <c r="H12" s="24" t="inlineStr">
        <is>
          <t>Pendiente de confirmación</t>
        </is>
      </c>
    </row>
    <row r="13" ht="30" customHeight="1">
      <c r="B13" s="24" t="inlineStr">
        <is>
          <t>Adopción de la suscripción en el Año 1</t>
        </is>
      </c>
      <c r="C13" s="6" t="n">
        <v>0.15</v>
      </c>
      <c r="D13" s="30" t="inlineStr">
        <is>
          <t>Supuesto del equipo; la adopción crece por año en la sección 2.</t>
        </is>
      </c>
      <c r="E13" s="35" t="n"/>
      <c r="F13" s="35" t="n"/>
      <c r="G13" s="36" t="n"/>
      <c r="H13" s="24" t="inlineStr">
        <is>
          <t>Pendiente de confirmación</t>
        </is>
      </c>
    </row>
    <row r="14" ht="30" customHeight="1">
      <c r="B14" s="24" t="inlineStr">
        <is>
          <t>Tasa de descuento anual para el VAN</t>
        </is>
      </c>
      <c r="C14" s="6" t="n">
        <v>0.15</v>
      </c>
      <c r="D14" s="30" t="inlineStr">
        <is>
          <t>El proyecto no define una tasa de descuento: es un supuesto explícito del equipo. Pendiente de confirmación.</t>
        </is>
      </c>
      <c r="E14" s="35" t="n"/>
      <c r="F14" s="35" t="n"/>
      <c r="G14" s="36" t="n"/>
      <c r="H14" s="24" t="inlineStr">
        <is>
          <t>Pendiente de confirmación</t>
        </is>
      </c>
    </row>
    <row r="15" ht="30" customHeight="1">
      <c r="B15" s="24" t="inlineStr">
        <is>
          <t>Costo de infraestructura productiva (USD por mes)</t>
        </is>
      </c>
      <c r="C15" s="39" t="n">
        <v>110</v>
      </c>
      <c r="D15" s="30" t="inlineStr">
        <is>
          <t>Punto medio del rango USD 100 a 120 documentado para la Opción B.</t>
        </is>
      </c>
      <c r="E15" s="35" t="n"/>
      <c r="F15" s="35" t="n"/>
      <c r="G15" s="36" t="n"/>
      <c r="H15" s="24" t="inlineStr">
        <is>
          <t>Estimado</t>
        </is>
      </c>
    </row>
    <row r="16" ht="30" customHeight="1">
      <c r="B16" s="24" t="inlineStr">
        <is>
          <t>Horas de operación y soporte al mes</t>
        </is>
      </c>
      <c r="C16" s="40" t="n">
        <v>40</v>
      </c>
      <c r="D16" s="30" t="inlineStr">
        <is>
          <t>Supuesto del equipo para sostener el sistema en producción.</t>
        </is>
      </c>
      <c r="E16" s="35" t="n"/>
      <c r="F16" s="35" t="n"/>
      <c r="G16" s="36" t="n"/>
      <c r="H16" s="24" t="inlineStr">
        <is>
          <t>Pendiente de confirmación</t>
        </is>
      </c>
    </row>
    <row r="17" ht="30" customHeight="1">
      <c r="B17" s="24" t="inlineStr">
        <is>
          <t>Valor hora de operación y soporte (CLP)</t>
        </is>
      </c>
      <c r="C17" s="10">
        <f>'Bajo Presupuesto'!$E$20</f>
        <v/>
      </c>
      <c r="D17" s="30" t="inlineStr">
        <is>
          <t>Valor hora del rol Analista de Procesos del presupuesto base (hoja Bajo Presupuesto, sección 1).</t>
        </is>
      </c>
      <c r="E17" s="35" t="n"/>
      <c r="F17" s="35" t="n"/>
      <c r="G17" s="36" t="n"/>
      <c r="H17" s="24" t="inlineStr">
        <is>
          <t>Estimado</t>
        </is>
      </c>
    </row>
    <row r="18" ht="30" customHeight="1">
      <c r="B18" s="24" t="inlineStr">
        <is>
          <t>Meses por año</t>
        </is>
      </c>
      <c r="C18" s="40" t="n">
        <v>12</v>
      </c>
      <c r="D18" s="30" t="inlineStr">
        <is>
          <t>Base de cálculo anual.</t>
        </is>
      </c>
      <c r="E18" s="35" t="n"/>
      <c r="F18" s="35" t="n"/>
      <c r="G18" s="36" t="n"/>
      <c r="H18" s="24" t="inlineStr">
        <is>
          <t>Confirmado</t>
        </is>
      </c>
    </row>
    <row r="19" ht="45" customHeight="1">
      <c r="B19" s="24" t="inlineStr">
        <is>
          <t>Incluir el trabajo valorizado del equipo en la inversión inicial (1 = sí, 0 = no)</t>
        </is>
      </c>
      <c r="C19" s="40" t="n">
        <v>1</v>
      </c>
      <c r="D19" s="30" t="inlineStr">
        <is>
          <t>Supuesto del equipo: para un negocio real, construir la plataforma cuesta el trabajo del proyecto. Con 1, la inversión inicial incluye el recurso humano valorizado de la hoja Bajo Presupuesto (celda F48).</t>
        </is>
      </c>
      <c r="E19" s="35" t="n"/>
      <c r="F19" s="35" t="n"/>
      <c r="G19" s="36" t="n"/>
      <c r="H19" s="24" t="inlineStr">
        <is>
          <t>Pendiente de confirmación</t>
        </is>
      </c>
    </row>
    <row r="21" ht="15" customHeight="1">
      <c r="B21" s="26" t="inlineStr">
        <is>
          <t>2. PROYECCIÓN DE INGRESOS Y COSTOS (AÑO 1 A AÑO 5)</t>
        </is>
      </c>
      <c r="C21" s="35" t="n"/>
      <c r="D21" s="35" t="n"/>
      <c r="E21" s="35" t="n"/>
      <c r="F21" s="35" t="n"/>
      <c r="G21" s="35" t="n"/>
      <c r="H21" s="36" t="n"/>
    </row>
    <row r="22" ht="30" customHeight="1">
      <c r="B22" s="26" t="inlineStr">
        <is>
          <t>Concepto</t>
        </is>
      </c>
      <c r="C22" s="26" t="inlineStr">
        <is>
          <t>Año 1</t>
        </is>
      </c>
      <c r="D22" s="26" t="inlineStr">
        <is>
          <t>Año 2</t>
        </is>
      </c>
      <c r="E22" s="26" t="inlineStr">
        <is>
          <t>Año 3</t>
        </is>
      </c>
      <c r="F22" s="26" t="inlineStr">
        <is>
          <t>Año 4</t>
        </is>
      </c>
      <c r="G22" s="26" t="inlineStr">
        <is>
          <t>Año 5</t>
        </is>
      </c>
      <c r="H22" s="26" t="inlineStr">
        <is>
          <t>Observación</t>
        </is>
      </c>
    </row>
    <row r="23" ht="30" customHeight="1">
      <c r="B23" s="24" t="inlineStr">
        <is>
          <t>Productores activos (supuesto)</t>
        </is>
      </c>
      <c r="C23" s="40" t="n">
        <v>15</v>
      </c>
      <c r="D23" s="40" t="n">
        <v>40</v>
      </c>
      <c r="E23" s="40" t="n">
        <v>80</v>
      </c>
      <c r="F23" s="40" t="n">
        <v>130</v>
      </c>
      <c r="G23" s="40" t="n">
        <v>200</v>
      </c>
      <c r="H23" s="24" t="inlineStr">
        <is>
          <t>Supuesto de penetración del equipo; pendiente de confirmación.</t>
        </is>
      </c>
    </row>
    <row r="24" ht="30" customHeight="1">
      <c r="B24" s="24" t="inlineStr">
        <is>
          <t>Pedidos por productor al mes (supuesto)</t>
        </is>
      </c>
      <c r="C24" s="40" t="n">
        <v>4</v>
      </c>
      <c r="D24" s="40" t="n">
        <v>5</v>
      </c>
      <c r="E24" s="40" t="n">
        <v>6</v>
      </c>
      <c r="F24" s="40" t="n">
        <v>6</v>
      </c>
      <c r="G24" s="40" t="n">
        <v>7</v>
      </c>
      <c r="H24" s="24" t="inlineStr">
        <is>
          <t>Supuesto del equipo; pendiente de confirmación.</t>
        </is>
      </c>
    </row>
    <row r="25" ht="30" customHeight="1">
      <c r="B25" s="24" t="inlineStr">
        <is>
          <t>Adopción de la suscripción (supuesto)</t>
        </is>
      </c>
      <c r="C25" s="6" t="n">
        <v>0.15</v>
      </c>
      <c r="D25" s="6" t="n">
        <v>0.25</v>
      </c>
      <c r="E25" s="6" t="n">
        <v>0.35</v>
      </c>
      <c r="F25" s="6" t="n">
        <v>0.4</v>
      </c>
      <c r="G25" s="6" t="n">
        <v>0.45</v>
      </c>
      <c r="H25" s="24" t="inlineStr">
        <is>
          <t>Supuesto del equipo; pendiente de confirmación.</t>
        </is>
      </c>
    </row>
    <row r="26" ht="30" customHeight="1">
      <c r="B26" s="24" t="inlineStr">
        <is>
          <t>Pedidos al año</t>
        </is>
      </c>
      <c r="C26" s="15">
        <f>C23*C24*$C$18</f>
        <v/>
      </c>
      <c r="D26" s="15">
        <f>D23*D24*$C$18</f>
        <v/>
      </c>
      <c r="E26" s="15">
        <f>E23*E24*$C$18</f>
        <v/>
      </c>
      <c r="F26" s="15">
        <f>F23*F24*$C$18</f>
        <v/>
      </c>
      <c r="G26" s="15">
        <f>G23*G24*$C$18</f>
        <v/>
      </c>
      <c r="H26" s="24" t="inlineStr">
        <is>
          <t>Productores activos × pedidos por productor al mes × meses del año.</t>
        </is>
      </c>
    </row>
    <row r="27" ht="30" customHeight="1">
      <c r="B27" s="24" t="inlineStr">
        <is>
          <t>Ticket promedio (CLP)</t>
        </is>
      </c>
      <c r="C27" s="10">
        <f>$C$11</f>
        <v/>
      </c>
      <c r="D27" s="10">
        <f>$C$11</f>
        <v/>
      </c>
      <c r="E27" s="10">
        <f>$C$11</f>
        <v/>
      </c>
      <c r="F27" s="10">
        <f>$C$11</f>
        <v/>
      </c>
      <c r="G27" s="10">
        <f>$C$11</f>
        <v/>
      </c>
      <c r="H27" s="24" t="inlineStr">
        <is>
          <t>Supuesto del modelo (celda C11).</t>
        </is>
      </c>
    </row>
    <row r="28" ht="30" customHeight="1">
      <c r="B28" s="24" t="inlineStr">
        <is>
          <t>Venta total del marketplace (GMV)</t>
        </is>
      </c>
      <c r="C28" s="10">
        <f>C26*C27</f>
        <v/>
      </c>
      <c r="D28" s="10">
        <f>D26*D27</f>
        <v/>
      </c>
      <c r="E28" s="10">
        <f>E26*E27</f>
        <v/>
      </c>
      <c r="F28" s="10">
        <f>F26*F27</f>
        <v/>
      </c>
      <c r="G28" s="10">
        <f>G26*G27</f>
        <v/>
      </c>
      <c r="H28" s="24" t="inlineStr">
        <is>
          <t>Valor transado por los productores; no es ingreso de CuTuCo.</t>
        </is>
      </c>
    </row>
    <row r="29" ht="15" customHeight="1">
      <c r="B29" s="26" t="inlineStr">
        <is>
          <t>INGRESOS DE CU TUCO</t>
        </is>
      </c>
      <c r="C29" s="35" t="n"/>
      <c r="D29" s="35" t="n"/>
      <c r="E29" s="35" t="n"/>
      <c r="F29" s="35" t="n"/>
      <c r="G29" s="35" t="n"/>
      <c r="H29" s="36" t="n"/>
    </row>
    <row r="30" ht="30" customHeight="1">
      <c r="B30" s="24" t="inlineStr">
        <is>
          <t>Fee de intermediación (5% del GMV)</t>
        </is>
      </c>
      <c r="C30" s="10">
        <f>C28*$C$9</f>
        <v/>
      </c>
      <c r="D30" s="10">
        <f>D28*$C$9</f>
        <v/>
      </c>
      <c r="E30" s="10">
        <f>E28*$C$9</f>
        <v/>
      </c>
      <c r="F30" s="10">
        <f>F28*$C$9</f>
        <v/>
      </c>
      <c r="G30" s="10">
        <f>G28*$C$9</f>
        <v/>
      </c>
      <c r="H30" s="24" t="inlineStr">
        <is>
          <t>Ingreso por el fee base de 5% (RF-005 y RF-014).</t>
        </is>
      </c>
    </row>
    <row r="31" ht="30" customHeight="1">
      <c r="B31" s="24" t="inlineStr">
        <is>
          <t>Tarifa fija por pedido ($3.500)</t>
        </is>
      </c>
      <c r="C31" s="10">
        <f>C26*$C$10</f>
        <v/>
      </c>
      <c r="D31" s="10">
        <f>D26*$C$10</f>
        <v/>
      </c>
      <c r="E31" s="10">
        <f>E26*$C$10</f>
        <v/>
      </c>
      <c r="F31" s="10">
        <f>F26*$C$10</f>
        <v/>
      </c>
      <c r="G31" s="10">
        <f>G26*$C$10</f>
        <v/>
      </c>
      <c r="H31" s="24" t="inlineStr">
        <is>
          <t>Se descuenta en el Split Payment de Webpay Mall (RF-014).</t>
        </is>
      </c>
    </row>
    <row r="32" ht="30" customHeight="1">
      <c r="B32" s="24" t="inlineStr">
        <is>
          <t>Suscripción mensual de productores (fuera del MVP)</t>
        </is>
      </c>
      <c r="C32" s="10">
        <f>C23*C25*$C$12*$C$18</f>
        <v/>
      </c>
      <c r="D32" s="10">
        <f>D23*D25*$C$12*$C$18</f>
        <v/>
      </c>
      <c r="E32" s="10">
        <f>E23*E25*$C$12*$C$18</f>
        <v/>
      </c>
      <c r="F32" s="10">
        <f>F23*F25*$C$12*$C$18</f>
        <v/>
      </c>
      <c r="G32" s="10">
        <f>G23*G25*$C$12*$C$18</f>
        <v/>
      </c>
      <c r="H32" s="24" t="inlineStr">
        <is>
          <t>Facturación proyectada: no forma parte del MVP y no se cobra en el período académico.</t>
        </is>
      </c>
    </row>
    <row r="33" ht="30" customHeight="1">
      <c r="B33" s="24" t="inlineStr">
        <is>
          <t>Total de ingresos</t>
        </is>
      </c>
      <c r="C33" s="13">
        <f>SUM(C30:C32)</f>
        <v/>
      </c>
      <c r="D33" s="13">
        <f>SUM(D30:D32)</f>
        <v/>
      </c>
      <c r="E33" s="13">
        <f>SUM(E30:E32)</f>
        <v/>
      </c>
      <c r="F33" s="13">
        <f>SUM(F30:F32)</f>
        <v/>
      </c>
      <c r="G33" s="13">
        <f>SUM(G30:G32)</f>
        <v/>
      </c>
      <c r="H33" s="24" t="inlineStr">
        <is>
          <t>Suma de las tres líneas de ingreso.</t>
        </is>
      </c>
    </row>
    <row r="34" ht="15" customHeight="1">
      <c r="B34" s="26" t="inlineStr">
        <is>
          <t>COSTOS RECURRENTES</t>
        </is>
      </c>
      <c r="C34" s="35" t="n"/>
      <c r="D34" s="35" t="n"/>
      <c r="E34" s="35" t="n"/>
      <c r="F34" s="35" t="n"/>
      <c r="G34" s="35" t="n"/>
      <c r="H34" s="36" t="n"/>
    </row>
    <row r="35" ht="30" customHeight="1">
      <c r="B35" s="24" t="inlineStr">
        <is>
          <t>Infraestructura productiva</t>
        </is>
      </c>
      <c r="C35" s="10">
        <f>$C$15*$C$18*$C$8</f>
        <v/>
      </c>
      <c r="D35" s="10">
        <f>$C$15*$C$18*$C$8</f>
        <v/>
      </c>
      <c r="E35" s="10">
        <f>$C$15*$C$18*$C$8</f>
        <v/>
      </c>
      <c r="F35" s="10">
        <f>$C$15*$C$18*$C$8</f>
        <v/>
      </c>
      <c r="G35" s="10">
        <f>$C$15*$C$18*$C$8</f>
        <v/>
      </c>
      <c r="H35" s="24" t="inlineStr">
        <is>
          <t>USD 110 al mes según el supuesto; equivale al rango documentado de USD 100 a 120.</t>
        </is>
      </c>
    </row>
    <row r="36" ht="30" customHeight="1">
      <c r="B36" s="24" t="inlineStr">
        <is>
          <t>Operación y soporte</t>
        </is>
      </c>
      <c r="C36" s="10">
        <f>$C$16*$C$17*$C$18</f>
        <v/>
      </c>
      <c r="D36" s="10">
        <f>$C$16*$C$17*$C$18</f>
        <v/>
      </c>
      <c r="E36" s="10">
        <f>$C$16*$C$17*$C$18</f>
        <v/>
      </c>
      <c r="F36" s="10">
        <f>$C$16*$C$17*$C$18</f>
        <v/>
      </c>
      <c r="G36" s="10">
        <f>$C$16*$C$17*$C$18</f>
        <v/>
      </c>
      <c r="H36" s="24" t="inlineStr">
        <is>
          <t>Horas al mes valorizadas al valor hora del supuesto.</t>
        </is>
      </c>
    </row>
    <row r="37" ht="45" customHeight="1">
      <c r="B37" s="24" t="inlineStr">
        <is>
          <t>Captación de productores y compradores (marketing)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24" t="inlineStr">
        <is>
          <t>Pendiente de cotización: no se incorpora al flujo. Su ausencia explica por qué el VAN y la TIR son un techo referencial.</t>
        </is>
      </c>
    </row>
    <row r="38" ht="60" customHeight="1">
      <c r="B38" s="24" t="inlineStr">
        <is>
          <t>Delivery asumido por CuTuCo</t>
        </is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24" t="inlineStr">
        <is>
          <t>Escenario base: el despacho lo realiza el productor y no genera costo para CuTuCo. Alternativas evaluadas en la sección 8 de las hojas de presupuesto.</t>
        </is>
      </c>
    </row>
    <row r="39" ht="30" customHeight="1">
      <c r="B39" s="24" t="inlineStr">
        <is>
          <t>Trámites y obligaciones por validar</t>
        </is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24" t="inlineStr">
        <is>
          <t>Pendientes de cotización: no se incorporan al flujo hasta contar con el monto.</t>
        </is>
      </c>
    </row>
    <row r="40" ht="45" customHeight="1">
      <c r="B40" s="24" t="inlineStr">
        <is>
          <t>Comisión de Transbank por transacción</t>
        </is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24" t="inlineStr">
        <is>
          <t>Pendiente de confirmación: la comisión del contrato de Webpay Mall podría descontarse del ingreso por fee.</t>
        </is>
      </c>
    </row>
    <row r="41" ht="30" customHeight="1">
      <c r="B41" s="24" t="inlineStr">
        <is>
          <t>Total de costos recurrentes</t>
        </is>
      </c>
      <c r="C41" s="13">
        <f>SUM(C35:C40)</f>
        <v/>
      </c>
      <c r="D41" s="13">
        <f>SUM(D35:D40)</f>
        <v/>
      </c>
      <c r="E41" s="13">
        <f>SUM(E35:E40)</f>
        <v/>
      </c>
      <c r="F41" s="13">
        <f>SUM(F35:F40)</f>
        <v/>
      </c>
      <c r="G41" s="13">
        <f>SUM(G35:G40)</f>
        <v/>
      </c>
      <c r="H41" s="24" t="inlineStr">
        <is>
          <t>Costos que se repiten cada año.</t>
        </is>
      </c>
    </row>
    <row r="42" ht="30" customHeight="1">
      <c r="B42" s="24" t="inlineStr">
        <is>
          <t>Flujo del período (ingresos − costos)</t>
        </is>
      </c>
      <c r="C42" s="13">
        <f>C33-C41</f>
        <v/>
      </c>
      <c r="D42" s="13">
        <f>D33-D41</f>
        <v/>
      </c>
      <c r="E42" s="13">
        <f>E33-E41</f>
        <v/>
      </c>
      <c r="F42" s="13">
        <f>F33-F41</f>
        <v/>
      </c>
      <c r="G42" s="13">
        <f>G33-G41</f>
        <v/>
      </c>
      <c r="H42" s="24" t="inlineStr">
        <is>
          <t>Resultado del año, antes de la inversión inicial.</t>
        </is>
      </c>
    </row>
    <row r="44" ht="15" customHeight="1">
      <c r="B44" s="26" t="inlineStr">
        <is>
          <t>3. INVERSIÓN INICIAL Y FLUJO DE CAJA (AÑO 0 A AÑO 5)</t>
        </is>
      </c>
      <c r="C44" s="35" t="n"/>
      <c r="D44" s="35" t="n"/>
      <c r="E44" s="35" t="n"/>
      <c r="F44" s="35" t="n"/>
      <c r="G44" s="35" t="n"/>
      <c r="H44" s="36" t="n"/>
    </row>
    <row r="45" ht="30" customHeight="1">
      <c r="B45" s="26" t="inlineStr">
        <is>
          <t>Período</t>
        </is>
      </c>
      <c r="C45" s="26" t="inlineStr">
        <is>
          <t>Inversión inicial (CLP)</t>
        </is>
      </c>
      <c r="D45" s="26" t="inlineStr">
        <is>
          <t>Ingresos (CLP)</t>
        </is>
      </c>
      <c r="E45" s="26" t="inlineStr">
        <is>
          <t>Costos (CLP)</t>
        </is>
      </c>
      <c r="F45" s="26" t="inlineStr">
        <is>
          <t>Flujo del período (CLP)</t>
        </is>
      </c>
      <c r="G45" s="26" t="inlineStr">
        <is>
          <t>Flujo acumulado (CLP)</t>
        </is>
      </c>
      <c r="H45" s="26" t="inlineStr">
        <is>
          <t>Observación</t>
        </is>
      </c>
    </row>
    <row r="46" ht="60" customHeight="1">
      <c r="B46" s="24" t="inlineStr">
        <is>
          <t>Año 0</t>
        </is>
      </c>
      <c r="C46" s="10">
        <f>'Bajo Presupuesto'!$F$53+$C$19*'Bajo Presupuesto'!$F$48</f>
        <v/>
      </c>
      <c r="D46" s="10" t="n">
        <v>0</v>
      </c>
      <c r="E46" s="10" t="n">
        <v>0</v>
      </c>
      <c r="F46" s="13">
        <f>-C46</f>
        <v/>
      </c>
      <c r="G46" s="13">
        <f>F46</f>
        <v/>
      </c>
      <c r="H46" s="24" t="inlineStr">
        <is>
          <t>Inversión inicial: desembolso en efectivo con contingencia del escenario base más el trabajo valorizado del equipo, según el interruptor de la sección 1.</t>
        </is>
      </c>
    </row>
    <row r="47" ht="30" customHeight="1">
      <c r="B47" s="24" t="inlineStr">
        <is>
          <t>Año 1</t>
        </is>
      </c>
      <c r="D47" s="10">
        <f>C33</f>
        <v/>
      </c>
      <c r="E47" s="10">
        <f>C41</f>
        <v/>
      </c>
      <c r="F47" s="10">
        <f>D47-E47</f>
        <v/>
      </c>
      <c r="G47" s="10">
        <f>G46+F47</f>
        <v/>
      </c>
      <c r="H47" s="24" t="inlineStr">
        <is>
          <t>Ingresos y costos recurrentes del año según la sección 2.</t>
        </is>
      </c>
    </row>
    <row r="48" ht="30" customHeight="1">
      <c r="B48" s="24" t="inlineStr">
        <is>
          <t>Año 2</t>
        </is>
      </c>
      <c r="D48" s="10">
        <f>D33</f>
        <v/>
      </c>
      <c r="E48" s="10">
        <f>D41</f>
        <v/>
      </c>
      <c r="F48" s="10">
        <f>D48-E48</f>
        <v/>
      </c>
      <c r="G48" s="10">
        <f>G47+F48</f>
        <v/>
      </c>
      <c r="H48" s="24" t="inlineStr"/>
    </row>
    <row r="49" ht="30" customHeight="1">
      <c r="B49" s="24" t="inlineStr">
        <is>
          <t>Año 3</t>
        </is>
      </c>
      <c r="D49" s="10">
        <f>E33</f>
        <v/>
      </c>
      <c r="E49" s="10">
        <f>E41</f>
        <v/>
      </c>
      <c r="F49" s="10">
        <f>D49-E49</f>
        <v/>
      </c>
      <c r="G49" s="10">
        <f>G48+F49</f>
        <v/>
      </c>
      <c r="H49" s="24" t="inlineStr"/>
    </row>
    <row r="50" ht="30" customHeight="1">
      <c r="B50" s="24" t="inlineStr">
        <is>
          <t>Año 4</t>
        </is>
      </c>
      <c r="D50" s="10">
        <f>F33</f>
        <v/>
      </c>
      <c r="E50" s="10">
        <f>F41</f>
        <v/>
      </c>
      <c r="F50" s="10">
        <f>D50-E50</f>
        <v/>
      </c>
      <c r="G50" s="10">
        <f>G49+F50</f>
        <v/>
      </c>
      <c r="H50" s="24" t="inlineStr"/>
    </row>
    <row r="51" ht="30" customHeight="1">
      <c r="B51" s="24" t="inlineStr">
        <is>
          <t>Año 5</t>
        </is>
      </c>
      <c r="D51" s="10">
        <f>G33</f>
        <v/>
      </c>
      <c r="E51" s="10">
        <f>G41</f>
        <v/>
      </c>
      <c r="F51" s="10">
        <f>D51-E51</f>
        <v/>
      </c>
      <c r="G51" s="10">
        <f>G50+F51</f>
        <v/>
      </c>
      <c r="H51" s="24" t="inlineStr"/>
    </row>
    <row r="53" ht="30" customHeight="1">
      <c r="B53" s="24" t="inlineStr">
        <is>
          <t>VAN con la tasa de descuento del supuesto (Año 0 a Año 5)</t>
        </is>
      </c>
      <c r="C53" s="13">
        <f>F46+NPV($C$14,F47:F51)</f>
        <v/>
      </c>
      <c r="D53" s="30" t="inlineStr">
        <is>
          <t>Valor actual neto del flujo proyectado con la tasa de la celda C14, que es un supuesto.</t>
        </is>
      </c>
      <c r="E53" s="35" t="n"/>
      <c r="F53" s="35" t="n"/>
      <c r="G53" s="36" t="n"/>
      <c r="H53" s="24" t="inlineStr">
        <is>
          <t>Pendiente de confirmación</t>
        </is>
      </c>
    </row>
    <row r="54" ht="30" customHeight="1">
      <c r="B54" s="24" t="inlineStr">
        <is>
          <t>TIR del flujo de caja (Año 0 a Año 5)</t>
        </is>
      </c>
      <c r="C54" s="41">
        <f>IRR(F46:F51)</f>
        <v/>
      </c>
      <c r="D54" s="30" t="inlineStr">
        <is>
          <t>Tasa interna de retorno del flujo proyectado (Año 0 a Año 5).</t>
        </is>
      </c>
      <c r="E54" s="35" t="n"/>
      <c r="F54" s="35" t="n"/>
      <c r="G54" s="36" t="n"/>
      <c r="H54" s="24" t="inlineStr">
        <is>
          <t>Pendiente de confirmación</t>
        </is>
      </c>
    </row>
    <row r="55" ht="30" customHeight="1">
      <c r="B55" s="24" t="inlineStr">
        <is>
          <t>Recuperación de la inversión (payback)</t>
        </is>
      </c>
      <c r="C55" s="13">
        <f>IF(MAX(G46:G51)&lt;0,"No recupera en el horizonte de 5 años",INDEX($B$46:$B$51,MATCH(TRUE,INDEX(G46:G51&gt;=0,0),0)))</f>
        <v/>
      </c>
      <c r="D55" s="30" t="inlineStr">
        <is>
          <t>Primer período en que el flujo acumulado deja de ser negativo.</t>
        </is>
      </c>
      <c r="E55" s="35" t="n"/>
      <c r="F55" s="35" t="n"/>
      <c r="G55" s="36" t="n"/>
      <c r="H55" s="24" t="inlineStr">
        <is>
          <t>Pendiente de confirmación</t>
        </is>
      </c>
    </row>
    <row r="56" ht="30" customHeight="1">
      <c r="B56" s="24" t="inlineStr">
        <is>
          <t>VAN con tasa de descuento de 10% (referencia)</t>
        </is>
      </c>
      <c r="C56" s="13">
        <f>F46+NPV(0.1,F47:F51)</f>
        <v/>
      </c>
      <c r="D56" s="30" t="inlineStr">
        <is>
          <t>Sensibilidad: el proyecto no define la tasa de descuento.</t>
        </is>
      </c>
      <c r="E56" s="35" t="n"/>
      <c r="F56" s="35" t="n"/>
      <c r="G56" s="36" t="n"/>
      <c r="H56" s="24" t="inlineStr">
        <is>
          <t>Estimado</t>
        </is>
      </c>
    </row>
    <row r="57" ht="30" customHeight="1">
      <c r="B57" s="24" t="inlineStr">
        <is>
          <t>VAN con tasa de descuento de 20% (referencia)</t>
        </is>
      </c>
      <c r="C57" s="13">
        <f>F46+NPV(0.2,F47:F51)</f>
        <v/>
      </c>
      <c r="D57" s="30" t="inlineStr">
        <is>
          <t>Sensibilidad: el proyecto no define la tasa de descuento.</t>
        </is>
      </c>
      <c r="E57" s="35" t="n"/>
      <c r="F57" s="35" t="n"/>
      <c r="G57" s="36" t="n"/>
      <c r="H57" s="24" t="inlineStr">
        <is>
          <t>Estimado</t>
        </is>
      </c>
    </row>
    <row r="58" ht="30" customHeight="1">
      <c r="B58" s="24" t="inlineStr">
        <is>
          <t>Inversión inicial de referencia: escenario Medio (solo desembolso)</t>
        </is>
      </c>
      <c r="C58" s="13">
        <f>'Medio Presupuesto'!$F$54</f>
        <v/>
      </c>
      <c r="D58" s="30" t="inlineStr">
        <is>
          <t>Si se adoptara el escenario Medio, el desembolso inicial sería mayor.</t>
        </is>
      </c>
      <c r="E58" s="35" t="n"/>
      <c r="F58" s="35" t="n"/>
      <c r="G58" s="36" t="n"/>
      <c r="H58" s="24" t="inlineStr">
        <is>
          <t>Estimado</t>
        </is>
      </c>
    </row>
    <row r="59" ht="30" customHeight="1">
      <c r="B59" s="24" t="inlineStr">
        <is>
          <t>Inversión inicial de referencia: escenario Alto (solo desembolso)</t>
        </is>
      </c>
      <c r="C59" s="13">
        <f>'Alto Presupuesto'!$F$55</f>
        <v/>
      </c>
      <c r="D59" s="30" t="inlineStr">
        <is>
          <t>Si se adoptara el escenario Alto, el desembolso inicial sería mayor.</t>
        </is>
      </c>
      <c r="E59" s="35" t="n"/>
      <c r="F59" s="35" t="n"/>
      <c r="G59" s="36" t="n"/>
      <c r="H59" s="24" t="inlineStr">
        <is>
          <t>Estimado</t>
        </is>
      </c>
    </row>
    <row r="61" ht="15" customHeight="1">
      <c r="B61" s="26" t="inlineStr">
        <is>
          <t>4. ANÁLISIS DEL FEE DE REFERENCIA DEL 5% (AÑO 1)</t>
        </is>
      </c>
      <c r="C61" s="35" t="n"/>
      <c r="D61" s="35" t="n"/>
      <c r="E61" s="35" t="n"/>
      <c r="F61" s="35" t="n"/>
      <c r="G61" s="35" t="n"/>
      <c r="H61" s="36" t="n"/>
    </row>
    <row r="62" ht="30" customHeight="1">
      <c r="B62" s="26" t="inlineStr">
        <is>
          <t>Concepto</t>
        </is>
      </c>
      <c r="C62" s="26" t="inlineStr">
        <is>
          <t>Valor</t>
        </is>
      </c>
      <c r="D62" s="26" t="inlineStr">
        <is>
          <t>Observación</t>
        </is>
      </c>
      <c r="E62" s="35" t="n"/>
      <c r="F62" s="35" t="n"/>
      <c r="G62" s="36" t="n"/>
      <c r="H62" s="26" t="inlineStr">
        <is>
          <t>Estado</t>
        </is>
      </c>
    </row>
    <row r="63" ht="30" customHeight="1">
      <c r="B63" s="24" t="inlineStr">
        <is>
          <t>Ingreso anual por fee de intermediación (Año 1)</t>
        </is>
      </c>
      <c r="C63" s="10">
        <f>C30</f>
        <v/>
      </c>
      <c r="D63" s="30" t="inlineStr">
        <is>
          <t>Ingreso del fee de 5% sobre el GMV del Año 1.</t>
        </is>
      </c>
      <c r="E63" s="35" t="n"/>
      <c r="F63" s="35" t="n"/>
      <c r="G63" s="36" t="n"/>
      <c r="H63" s="24" t="inlineStr">
        <is>
          <t>Estimado</t>
        </is>
      </c>
    </row>
    <row r="64" ht="30" customHeight="1">
      <c r="B64" s="24" t="inlineStr">
        <is>
          <t>Costos recurrentes anuales (Año 1)</t>
        </is>
      </c>
      <c r="C64" s="10">
        <f>C41</f>
        <v/>
      </c>
      <c r="D64" s="30" t="inlineStr">
        <is>
          <t>Infraestructura productiva más operación y soporte.</t>
        </is>
      </c>
      <c r="E64" s="35" t="n"/>
      <c r="F64" s="35" t="n"/>
      <c r="G64" s="36" t="n"/>
      <c r="H64" s="24" t="inlineStr">
        <is>
          <t>Estimado</t>
        </is>
      </c>
    </row>
    <row r="65" ht="30" customHeight="1">
      <c r="B65" s="24" t="inlineStr">
        <is>
          <t>Cobertura del fee sobre los costos recurrentes (Año 1)</t>
        </is>
      </c>
      <c r="C65" s="42">
        <f>C63/C64</f>
        <v/>
      </c>
      <c r="D65" s="30" t="inlineStr">
        <is>
          <t>Proporción de los costos recurrentes que cubriría el fee por sí solo.</t>
        </is>
      </c>
      <c r="E65" s="35" t="n"/>
      <c r="F65" s="35" t="n"/>
      <c r="G65" s="36" t="n"/>
      <c r="H65" s="24" t="inlineStr">
        <is>
          <t>Estimado</t>
        </is>
      </c>
    </row>
    <row r="66" ht="30" customHeight="1">
      <c r="B66" s="24" t="inlineStr">
        <is>
          <t>GMV anual necesario para cubrir los costos solo con el fee</t>
        </is>
      </c>
      <c r="C66" s="10">
        <f>C64/$C$9</f>
        <v/>
      </c>
      <c r="D66" s="30" t="inlineStr">
        <is>
          <t>Con un fee de 5%, este es el GMV mínimo anual para cubrir los costos recurrentes.</t>
        </is>
      </c>
      <c r="E66" s="35" t="n"/>
      <c r="F66" s="35" t="n"/>
      <c r="G66" s="36" t="n"/>
      <c r="H66" s="24" t="inlineStr">
        <is>
          <t>Estimado</t>
        </is>
      </c>
    </row>
    <row r="67" ht="30" customHeight="1">
      <c r="B67" s="24" t="inlineStr">
        <is>
          <t>Pedidos al mes necesarios para cubrir los costos solo con el fee</t>
        </is>
      </c>
      <c r="C67" s="15">
        <f>C66/$C$11/$C$18</f>
        <v/>
      </c>
      <c r="D67" s="30" t="inlineStr">
        <is>
          <t>Con el ticket promedio supuesto (celda C11).</t>
        </is>
      </c>
      <c r="E67" s="35" t="n"/>
      <c r="F67" s="35" t="n"/>
      <c r="G67" s="36" t="n"/>
      <c r="H67" s="24" t="inlineStr">
        <is>
          <t>Estimado</t>
        </is>
      </c>
    </row>
    <row r="68" ht="30" customHeight="1">
      <c r="B68" s="24" t="inlineStr">
        <is>
          <t>Fee equivalente si el único ingreso fuera el fee (Año 1)</t>
        </is>
      </c>
      <c r="C68" s="42">
        <f>C64/C28</f>
        <v/>
      </c>
      <c r="D68" s="30" t="inlineStr">
        <is>
          <t>Porcentaje del GMV que se necesitaría para cubrir los costos recurrentes del Año 1.</t>
        </is>
      </c>
      <c r="E68" s="35" t="n"/>
      <c r="F68" s="35" t="n"/>
      <c r="G68" s="36" t="n"/>
      <c r="H68" s="24" t="inlineStr">
        <is>
          <t>Estimado</t>
        </is>
      </c>
    </row>
    <row r="69" ht="30" customHeight="1">
      <c r="B69" s="24" t="inlineStr">
        <is>
          <t>Ingreso anual por la tarifa fija de $3.500 (Año 1)</t>
        </is>
      </c>
      <c r="C69" s="10">
        <f>C31</f>
        <v/>
      </c>
      <c r="D69" s="30" t="inlineStr">
        <is>
          <t>Aporte de la tarifa fija por pedido, que es la mayor fuente de ingreso del modelo.</t>
        </is>
      </c>
      <c r="E69" s="35" t="n"/>
      <c r="F69" s="35" t="n"/>
      <c r="G69" s="36" t="n"/>
      <c r="H69" s="24" t="inlineStr">
        <is>
          <t>Estimado</t>
        </is>
      </c>
    </row>
    <row r="70" ht="30" customHeight="1">
      <c r="B70" s="24" t="inlineStr">
        <is>
          <t>Ingreso total del Año 1 (fee + tarifa + suscripción)</t>
        </is>
      </c>
      <c r="C70" s="10">
        <f>C33</f>
        <v/>
      </c>
      <c r="D70" s="30" t="inlineStr">
        <is>
          <t>Comparación con los costos recurrentes del mismo año.</t>
        </is>
      </c>
      <c r="E70" s="35" t="n"/>
      <c r="F70" s="35" t="n"/>
      <c r="G70" s="36" t="n"/>
      <c r="H70" s="24" t="inlineStr">
        <is>
          <t>Estimado</t>
        </is>
      </c>
    </row>
    <row r="71" ht="105" customHeight="1">
      <c r="B71" s="24" t="inlineStr">
        <is>
          <t>Conclusión del análisis del fee</t>
        </is>
      </c>
      <c r="C71" s="24">
        <f>"Con el fee del 5% por sí solo, el modelo no cubre los costos recurrentes del Año 1: el fee aporta cerca del "&amp;TEXT(C65,"0.0%")&amp;" de ellos y, para cubrirlos solo con el fee, haría falta un GMV anual de $"&amp;TEXT(C66,"#,##0")&amp;" (unos "&amp;TEXT(C67,"#,##0")&amp;" pedidos al mes), es decir un fee equivalente a "&amp;TEXT(C68,"0.0%")&amp;" de la venta. El modelo se sostiene porque la tarifa fija de $3.500 por pedido aporta $"&amp;TEXT(C69,"#,##0")&amp;" en el Año 1, más que el propio fee. Recomendación sujeta a decisión del equipo: mantener el fee base de 5% durante el MVP y, antes de pasar a producción, evaluar un fee entre 7% y 8% del GMV o un ajuste de la tarifa fija por pedido, con cotización previa de la comisión de Transbank y del costo real de operación."</f>
        <v/>
      </c>
      <c r="D71" s="35" t="n"/>
      <c r="E71" s="35" t="n"/>
      <c r="F71" s="35" t="n"/>
      <c r="G71" s="35" t="n"/>
      <c r="H71" s="36" t="n"/>
    </row>
    <row r="73" ht="15" customHeight="1">
      <c r="B73" s="26" t="inlineStr">
        <is>
          <t>5. CONCLUSIONES Y RECOMENDACIONES (SUJETAS A DECISIÓN)</t>
        </is>
      </c>
      <c r="C73" s="35" t="n"/>
      <c r="D73" s="35" t="n"/>
      <c r="E73" s="35" t="n"/>
      <c r="F73" s="35" t="n"/>
      <c r="G73" s="35" t="n"/>
      <c r="H73" s="36" t="n"/>
    </row>
    <row r="74" ht="45" customHeight="1">
      <c r="B74" s="24" t="inlineStr">
        <is>
          <t>Viabilidad referencial: el VAN y la TIR dependen de supuestos no confirmados (ticket promedio, penetración de productores, pedidos por productor al mes, precio y adopción de la suscripción, tasa de descuento y valor del trabajo del equipo). Cualquier cambio en ellos cambia el resultado y debe registrarse como decisión formal; las filas de sensibilidad muestran el efecto de la tasa de descuento.</t>
        </is>
      </c>
      <c r="C74" s="35" t="n"/>
      <c r="D74" s="35" t="n"/>
      <c r="E74" s="35" t="n"/>
      <c r="F74" s="35" t="n"/>
      <c r="G74" s="35" t="n"/>
      <c r="H74" s="36" t="n"/>
    </row>
    <row r="75" ht="30" customHeight="1">
      <c r="B75" s="24" t="inlineStr">
        <is>
          <t>Techo referencial: la proyección no incluye captación de clientes (marketing), costos variables por transacción ni el crecimiento del equipo de operación. Con esos costos, hoy pendientes de cotización, el VAN y la TIR serían menores. Por eso el resultado se presenta como un techo y no como un resultado esperado.</t>
        </is>
      </c>
      <c r="C75" s="35" t="n"/>
      <c r="D75" s="35" t="n"/>
      <c r="E75" s="35" t="n"/>
      <c r="F75" s="35" t="n"/>
      <c r="G75" s="35" t="n"/>
      <c r="H75" s="36" t="n"/>
    </row>
    <row r="76" ht="30" customHeight="1">
      <c r="B76" s="24" t="inlineStr">
        <is>
          <t>Ingresos: el fee de 5% y la tarifa fija de $3.500 por pedido provienen del ERS (RF-005 y RF-014) y son las únicas fuentes de ingreso del MVP. La suscripción mensual por productor se modela como negocio proyectado y su facturación no forma parte del MVP.</t>
        </is>
      </c>
      <c r="C76" s="35" t="n"/>
      <c r="D76" s="35" t="n"/>
      <c r="E76" s="35" t="n"/>
      <c r="F76" s="35" t="n"/>
      <c r="G76" s="35" t="n"/>
      <c r="H76" s="36" t="n"/>
    </row>
    <row r="77" ht="30" customHeight="1">
      <c r="B77" s="24" t="inlineStr">
        <is>
          <t>Costos: la infraestructura productiva se estima en USD 100 a 120 al mes y el delivery no genera costo para CuTuCo en el MVP porque lo asume el productor. Los trámites de constitución, SII, patente municipal y resolución sanitaria están pendientes de cotización y hoy se registran en $0.</t>
        </is>
      </c>
      <c r="C77" s="35" t="n"/>
      <c r="D77" s="35" t="n"/>
      <c r="E77" s="35" t="n"/>
      <c r="F77" s="35" t="n"/>
      <c r="G77" s="35" t="n"/>
      <c r="H77" s="36" t="n"/>
    </row>
    <row r="78" ht="30" customHeight="1">
      <c r="B78" s="24" t="inlineStr">
        <is>
          <t>Riesgo principal: la mayor parte del ingreso depende de la tarifa fija por pedido y no del fee, de modo que una caída en el número de pedidos afecta directamente el resultado. El punto de equilibrio se alcanza con el volumen indicado en la sección 4.</t>
        </is>
      </c>
      <c r="C78" s="35" t="n"/>
      <c r="D78" s="35" t="n"/>
      <c r="E78" s="35" t="n"/>
      <c r="F78" s="35" t="n"/>
      <c r="G78" s="35" t="n"/>
      <c r="H78" s="36" t="n"/>
    </row>
    <row r="79" ht="30" customHeight="1">
      <c r="B79" s="24" t="inlineStr">
        <is>
          <t>Decisiones pendientes: el ajuste del fee, el precio de la suscripción y la evaluación de la logística (reparto externalizado o flota propia) requieren cotizaciones formales y presupuesto aprobado antes de comprometer cualquier gasto.</t>
        </is>
      </c>
      <c r="C79" s="35" t="n"/>
      <c r="D79" s="35" t="n"/>
      <c r="E79" s="35" t="n"/>
      <c r="F79" s="35" t="n"/>
      <c r="G79" s="35" t="n"/>
      <c r="H79" s="36" t="n"/>
    </row>
    <row r="81" ht="15" customHeight="1">
      <c r="B81" s="26" t="inlineStr">
        <is>
          <t>6. ESTADOS DEL PRESUPUESTO Y LEYENDA</t>
        </is>
      </c>
      <c r="C81" s="35" t="n"/>
      <c r="D81" s="35" t="n"/>
      <c r="E81" s="35" t="n"/>
      <c r="F81" s="35" t="n"/>
      <c r="G81" s="35" t="n"/>
      <c r="H81" s="36" t="n"/>
    </row>
    <row r="82" ht="30" customHeight="1">
      <c r="B82" s="26" t="inlineStr">
        <is>
          <t>Estado</t>
        </is>
      </c>
      <c r="C82" s="26" t="inlineStr">
        <is>
          <t>Significado</t>
        </is>
      </c>
      <c r="D82" s="35" t="n"/>
      <c r="E82" s="35" t="n"/>
      <c r="F82" s="35" t="n"/>
      <c r="G82" s="35" t="n"/>
      <c r="H82" s="36" t="n"/>
    </row>
    <row r="83" ht="30" customHeight="1">
      <c r="B83" s="24" t="inlineStr">
        <is>
          <t>Confirmado</t>
        </is>
      </c>
      <c r="C83" s="24" t="inlineStr">
        <is>
          <t>Monto o condición verificada en la documentación del proyecto o del proveedor. Incluye los niveles gratuitos, que hoy no generan desembolso.</t>
        </is>
      </c>
      <c r="D83" s="35" t="n"/>
      <c r="E83" s="35" t="n"/>
      <c r="F83" s="35" t="n"/>
      <c r="G83" s="35" t="n"/>
      <c r="H83" s="36" t="n"/>
    </row>
    <row r="84" ht="30" customHeight="1">
      <c r="B84" s="24" t="inlineStr">
        <is>
          <t>Estimado</t>
        </is>
      </c>
      <c r="C84" s="24" t="inlineStr">
        <is>
          <t>Referencia del equipo para el mercado chileno, sin cotización formal. Puede cambiar al momento de contratar.</t>
        </is>
      </c>
      <c r="D84" s="35" t="n"/>
      <c r="E84" s="35" t="n"/>
      <c r="F84" s="35" t="n"/>
      <c r="G84" s="35" t="n"/>
      <c r="H84" s="36" t="n"/>
    </row>
    <row r="85" ht="30" customHeight="1">
      <c r="B85" s="24" t="inlineStr">
        <is>
          <t>Valorizado</t>
        </is>
      </c>
      <c r="C85" s="24" t="inlineStr">
        <is>
          <t>Costo de referencia del trabajo del equipo a precio de mercado. No genera desembolso.</t>
        </is>
      </c>
      <c r="D85" s="35" t="n"/>
      <c r="E85" s="35" t="n"/>
      <c r="F85" s="35" t="n"/>
      <c r="G85" s="35" t="n"/>
      <c r="H85" s="36" t="n"/>
    </row>
    <row r="86" ht="30" customHeight="1">
      <c r="B86" s="24" t="inlineStr">
        <is>
          <t>Pendiente de cotización</t>
        </is>
      </c>
      <c r="C86" s="24" t="inlineStr">
        <is>
          <t>No hay monto sustentable: se registra en $0 y se incorporará al total cuando exista una cotización o un valor oficial.</t>
        </is>
      </c>
      <c r="D86" s="35" t="n"/>
      <c r="E86" s="35" t="n"/>
      <c r="F86" s="35" t="n"/>
      <c r="G86" s="35" t="n"/>
      <c r="H86" s="36" t="n"/>
    </row>
    <row r="87" ht="30" customHeight="1">
      <c r="B87" s="24" t="inlineStr">
        <is>
          <t>Pendiente de confirmación</t>
        </is>
      </c>
      <c r="C87" s="24" t="inlineStr">
        <is>
          <t>Falta validar la exigibilidad, la aplicabilidad o la cifra antes de comprometer un gasto.</t>
        </is>
      </c>
      <c r="D87" s="35" t="n"/>
      <c r="E87" s="35" t="n"/>
      <c r="F87" s="35" t="n"/>
      <c r="G87" s="35" t="n"/>
      <c r="H87" s="36" t="n"/>
    </row>
    <row r="88" ht="30" customHeight="1">
      <c r="B88" s="24" t="inlineStr">
        <is>
          <t>Fuera del MVP</t>
        </is>
      </c>
      <c r="C88" s="24" t="inlineStr">
        <is>
          <t>Concepto identificado y modelado como negocio proyectado, pero no activo en esta versión.</t>
        </is>
      </c>
      <c r="D88" s="35" t="n"/>
      <c r="E88" s="35" t="n"/>
      <c r="F88" s="35" t="n"/>
      <c r="G88" s="35" t="n"/>
      <c r="H88" s="36" t="n"/>
    </row>
  </sheetData>
  <mergeCells count="56">
    <mergeCell ref="D18:G18"/>
    <mergeCell ref="C85:H85"/>
    <mergeCell ref="D56:G56"/>
    <mergeCell ref="D9:G9"/>
    <mergeCell ref="B74:H74"/>
    <mergeCell ref="D12:G12"/>
    <mergeCell ref="D58:G58"/>
    <mergeCell ref="D8:G8"/>
    <mergeCell ref="C84:H84"/>
    <mergeCell ref="B6:H6"/>
    <mergeCell ref="D68:G68"/>
    <mergeCell ref="D64:G64"/>
    <mergeCell ref="D15:G15"/>
    <mergeCell ref="D55:G55"/>
    <mergeCell ref="D67:G67"/>
    <mergeCell ref="B5:H5"/>
    <mergeCell ref="B76:H76"/>
    <mergeCell ref="D14:G14"/>
    <mergeCell ref="D54:G54"/>
    <mergeCell ref="C71:H71"/>
    <mergeCell ref="D59:G59"/>
    <mergeCell ref="B79:H79"/>
    <mergeCell ref="B4:H4"/>
    <mergeCell ref="D69:G69"/>
    <mergeCell ref="B75:H75"/>
    <mergeCell ref="D19:G19"/>
    <mergeCell ref="D63:G63"/>
    <mergeCell ref="D10:G10"/>
    <mergeCell ref="B3:H3"/>
    <mergeCell ref="B81:H81"/>
    <mergeCell ref="C82:H82"/>
    <mergeCell ref="D65:G65"/>
    <mergeCell ref="B21:H21"/>
    <mergeCell ref="B77:H77"/>
    <mergeCell ref="B2:H2"/>
    <mergeCell ref="C87:H87"/>
    <mergeCell ref="D11:G11"/>
    <mergeCell ref="D13:G13"/>
    <mergeCell ref="D57:G57"/>
    <mergeCell ref="C83:H83"/>
    <mergeCell ref="C86:H86"/>
    <mergeCell ref="B61:H61"/>
    <mergeCell ref="D70:G70"/>
    <mergeCell ref="D17:G17"/>
    <mergeCell ref="B1:H1"/>
    <mergeCell ref="D53:G53"/>
    <mergeCell ref="B44:H44"/>
    <mergeCell ref="D66:G66"/>
    <mergeCell ref="D16:G16"/>
    <mergeCell ref="B73:H73"/>
    <mergeCell ref="D7:G7"/>
    <mergeCell ref="B78:H78"/>
    <mergeCell ref="B29:H29"/>
    <mergeCell ref="C88:H88"/>
    <mergeCell ref="B34:H34"/>
    <mergeCell ref="D62:G6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CETECOM</dc:creator>
  <dc:language xmlns:dc="http://purl.org/dc/elements/1.1/">en-US</dc:language>
  <dcterms:created xmlns:dcterms="http://purl.org/dc/terms/" xmlns:xsi="http://www.w3.org/2001/XMLSchema-instance" xsi:type="dcterms:W3CDTF">2022-10-18T13:55:40Z</dcterms:created>
  <dcterms:modified xmlns:dcterms="http://purl.org/dc/terms/" xmlns:xsi="http://www.w3.org/2001/XMLSchema-instance" xsi:type="dcterms:W3CDTF">2026-10-16T02:04:47Z</dcterms:modified>
  <cp:lastModifiedBy>IGNACIO JAVIER FUENZALIDA CHANDIA</cp:lastModifiedBy>
  <cp:revision>0</cp:revision>
  <cp:lastPrinted>2026-10-07T01:03:54Z</cp:lastPrinted>
</cp:coreProperties>
</file>
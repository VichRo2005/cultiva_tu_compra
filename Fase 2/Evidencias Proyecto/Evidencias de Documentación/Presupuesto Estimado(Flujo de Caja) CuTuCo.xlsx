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6440" tabRatio="500" firstSheet="0" activeTab="0" autoFilterDateGrouping="1"/>
  </bookViews>
  <sheets>
    <sheet xmlns:r="http://schemas.openxmlformats.org/officeDocument/2006/relationships" name="Alto Presupuesto" sheetId="1" state="visible" r:id="rId1"/>
    <sheet xmlns:r="http://schemas.openxmlformats.org/officeDocument/2006/relationships" name="Medio Presupuesto" sheetId="2" state="visible" r:id="rId2"/>
    <sheet xmlns:r="http://schemas.openxmlformats.org/officeDocument/2006/relationships" name="Bajo Presupuesto" sheetId="3" state="visible" r:id="rId3"/>
  </sheets>
  <definedNames>
    <definedName name="_xlnm.Print_Area" localSheetId="0">'Alto Presupuesto'!$B$1:$G$64</definedName>
    <definedName name="_xlnm.Print_Area" localSheetId="1">'Medio Presupuesto'!$B$1:$G$63</definedName>
    <definedName name="_xlnm.Print_Area" localSheetId="2">'Bajo Presupuesto'!$B$1:$G$62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5">
    <numFmt numFmtId="164" formatCode="\$#,##0"/>
    <numFmt numFmtId="165" formatCode="#,##0;\(#,##0\);\-"/>
    <numFmt numFmtId="166" formatCode="\$#,##0;&quot;($&quot;#,##0\);\-"/>
    <numFmt numFmtId="167" formatCode="&quot;USD &quot;#,##0.00;&quot;(USD &quot;#,##0.00\);\-"/>
    <numFmt numFmtId="168" formatCode="&quot;USD &quot;#,##0"/>
  </numFmts>
  <fonts count="7">
    <font>
      <name val="Calibri"/>
      <charset val="1"/>
      <color theme="1"/>
      <sz val="11"/>
    </font>
    <font>
      <name val="Calibri"/>
      <charset val="1"/>
      <b val="1"/>
      <sz val="14"/>
    </font>
    <font>
      <name val="Calibri"/>
      <charset val="1"/>
      <b val="1"/>
      <sz val="11"/>
    </font>
    <font>
      <name val="Calibri"/>
      <charset val="1"/>
      <sz val="11"/>
    </font>
    <font>
      <name val="Calibri"/>
      <charset val="1"/>
      <i val="1"/>
      <sz val="11"/>
    </font>
    <font>
      <name val="Calibri"/>
      <charset val="1"/>
      <color rgb="FF0000FF"/>
      <sz val="11"/>
    </font>
    <font>
      <name val="Calibri"/>
      <charset val="1"/>
      <i val="1"/>
      <sz val="10"/>
    </font>
  </fonts>
  <fills count="6">
    <fill>
      <patternFill/>
    </fill>
    <fill>
      <patternFill patternType="gray125"/>
    </fill>
    <fill>
      <patternFill patternType="solid">
        <fgColor rgb="FFFBE4D5"/>
        <bgColor rgb="FFFFE598"/>
      </patternFill>
    </fill>
    <fill>
      <patternFill patternType="solid">
        <fgColor rgb="FFFFFF00"/>
        <bgColor rgb="FFFFFF00"/>
      </patternFill>
    </fill>
    <fill>
      <patternFill patternType="solid">
        <fgColor rgb="FFC5E0B3"/>
        <bgColor rgb="FFCCFFCC"/>
      </patternFill>
    </fill>
    <fill>
      <patternFill patternType="solid">
        <fgColor rgb="FFFFE598"/>
        <bgColor rgb="FFFFFF99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3" fillId="0" borderId="1" applyAlignment="1" pivotButton="0" quotePrefix="0" xfId="0">
      <alignment vertical="center" wrapText="1" indent="1"/>
    </xf>
    <xf numFmtId="0" fontId="4" fillId="0" borderId="1" applyAlignment="1" pivotButton="0" quotePrefix="0" xfId="0">
      <alignment vertical="center" wrapText="1" indent="1"/>
    </xf>
    <xf numFmtId="0" fontId="2" fillId="2" borderId="1" applyAlignment="1" pivotButton="0" quotePrefix="0" xfId="0">
      <alignment horizontal="center" vertical="center" wrapText="1"/>
    </xf>
    <xf numFmtId="164" fontId="5" fillId="3" borderId="1" applyAlignment="1" pivotButton="0" quotePrefix="0" xfId="0">
      <alignment horizontal="right" vertical="center" wrapText="1"/>
    </xf>
    <xf numFmtId="1" fontId="5" fillId="3" borderId="1" applyAlignment="1" pivotButton="0" quotePrefix="0" xfId="0">
      <alignment horizontal="right" vertical="center" wrapText="1"/>
    </xf>
    <xf numFmtId="9" fontId="5" fillId="3" borderId="1" applyAlignment="1" pivotButton="0" quotePrefix="0" xfId="0">
      <alignment horizontal="right" vertical="center" wrapText="1"/>
    </xf>
    <xf numFmtId="0" fontId="0" fillId="0" borderId="0" applyAlignment="1" pivotButton="0" quotePrefix="0" xfId="0">
      <alignment vertical="center" wrapText="1"/>
    </xf>
    <xf numFmtId="165" fontId="5" fillId="0" borderId="1" applyAlignment="1" pivotButton="0" quotePrefix="0" xfId="0">
      <alignment horizontal="right" vertical="center" wrapText="1"/>
    </xf>
    <xf numFmtId="166" fontId="5" fillId="0" borderId="1" applyAlignment="1" pivotButton="0" quotePrefix="0" xfId="0">
      <alignment horizontal="right" vertical="center" wrapText="1"/>
    </xf>
    <xf numFmtId="166" fontId="3" fillId="0" borderId="1" applyAlignment="1" pivotButton="0" quotePrefix="0" xfId="0">
      <alignment horizontal="right" vertical="center" wrapText="1"/>
    </xf>
    <xf numFmtId="165" fontId="2" fillId="4" borderId="1" applyAlignment="1" pivotButton="0" quotePrefix="0" xfId="0">
      <alignment horizontal="right" vertical="center" wrapText="1"/>
    </xf>
    <xf numFmtId="0" fontId="3" fillId="4" borderId="1" applyAlignment="1" pivotButton="0" quotePrefix="0" xfId="0">
      <alignment vertical="center" wrapText="1"/>
    </xf>
    <xf numFmtId="166" fontId="2" fillId="4" borderId="1" applyAlignment="1" pivotButton="0" quotePrefix="0" xfId="0">
      <alignment horizontal="right" vertical="center" wrapText="1"/>
    </xf>
    <xf numFmtId="0" fontId="4" fillId="4" borderId="1" applyAlignment="1" pivotButton="0" quotePrefix="0" xfId="0">
      <alignment vertical="center" wrapText="1" indent="1"/>
    </xf>
    <xf numFmtId="165" fontId="3" fillId="0" borderId="1" applyAlignment="1" pivotButton="0" quotePrefix="0" xfId="0">
      <alignment horizontal="right" vertical="center" wrapText="1"/>
    </xf>
    <xf numFmtId="0" fontId="3" fillId="0" borderId="1" applyAlignment="1" pivotButton="0" quotePrefix="0" xfId="0">
      <alignment horizontal="center" vertical="center" wrapText="1"/>
    </xf>
    <xf numFmtId="1" fontId="5" fillId="0" borderId="1" applyAlignment="1" pivotButton="0" quotePrefix="0" xfId="0">
      <alignment horizontal="right" vertical="center" wrapText="1"/>
    </xf>
    <xf numFmtId="167" fontId="5" fillId="0" borderId="1" applyAlignment="1" pivotButton="0" quotePrefix="0" xfId="0">
      <alignment horizontal="right" vertical="center" wrapText="1"/>
    </xf>
    <xf numFmtId="1" fontId="3" fillId="0" borderId="1" applyAlignment="1" pivotButton="0" quotePrefix="0" xfId="0">
      <alignment horizontal="right" vertical="center" wrapText="1"/>
    </xf>
    <xf numFmtId="166" fontId="2" fillId="5" borderId="1" applyAlignment="1" pivotButton="0" quotePrefix="0" xfId="0">
      <alignment horizontal="right" vertical="center" wrapText="1"/>
    </xf>
    <xf numFmtId="0" fontId="4" fillId="5" borderId="1" applyAlignment="1" pivotButton="0" quotePrefix="0" xfId="0">
      <alignment vertical="center" wrapText="1"/>
    </xf>
    <xf numFmtId="168" fontId="3" fillId="0" borderId="1" applyAlignment="1" pivotButton="0" quotePrefix="0" xfId="0">
      <alignment horizontal="right" vertical="center" wrapText="1"/>
    </xf>
    <xf numFmtId="166" fontId="2" fillId="0" borderId="1" applyAlignment="1" pivotButton="0" quotePrefix="0" xfId="0">
      <alignment horizontal="right" vertical="center" wrapText="1"/>
    </xf>
    <xf numFmtId="0" fontId="3" fillId="0" borderId="1" applyAlignment="1" pivotButton="0" quotePrefix="0" xfId="0">
      <alignment vertical="center" wrapText="1" indent="1"/>
    </xf>
    <xf numFmtId="0" fontId="2" fillId="0" borderId="1" applyAlignment="1" pivotButton="0" quotePrefix="0" xfId="0">
      <alignment vertical="center" wrapText="1" indent="1"/>
    </xf>
    <xf numFmtId="0" fontId="2" fillId="2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vertical="top" wrapText="1"/>
    </xf>
    <xf numFmtId="0" fontId="2" fillId="5" borderId="1" applyAlignment="1" pivotButton="0" quotePrefix="0" xfId="0">
      <alignment vertical="center" wrapText="1" indent="1"/>
    </xf>
    <xf numFmtId="0" fontId="2" fillId="4" borderId="1" applyAlignment="1" pivotButton="0" quotePrefix="0" xfId="0">
      <alignment vertical="center" wrapText="1" indent="1"/>
    </xf>
    <xf numFmtId="0" fontId="4" fillId="0" borderId="1" applyAlignment="1" pivotButton="0" quotePrefix="0" xfId="0">
      <alignment vertical="center" wrapText="1" indent="1"/>
    </xf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wrapTex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E0B3"/>
      <rgbColor rgb="FF808080"/>
      <rgbColor rgb="FF9999FF"/>
      <rgbColor rgb="FF993366"/>
      <rgbColor rgb="FFFBE4D5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E598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G64"/>
  <sheetViews>
    <sheetView showGridLines="0" tabSelected="1" zoomScale="40" zoomScaleNormal="40" workbookViewId="0">
      <selection activeCell="I15" sqref="I15"/>
    </sheetView>
  </sheetViews>
  <sheetFormatPr baseColWidth="10" defaultColWidth="8.7109375" defaultRowHeight="15"/>
  <cols>
    <col width="3" customWidth="1" min="1" max="1"/>
    <col width="46" customWidth="1" min="2" max="2"/>
    <col width="22" customWidth="1" min="3" max="3"/>
    <col width="12" customWidth="1" min="4" max="4"/>
    <col width="16" customWidth="1" min="5" max="5"/>
    <col width="18" customWidth="1" min="6" max="6"/>
    <col width="52" customWidth="1" min="7" max="7"/>
  </cols>
  <sheetData>
    <row r="1" ht="18.75" customHeight="1">
      <c r="B1" s="31" t="inlineStr">
        <is>
          <t>PRESUPUESTO ESTIMADO – ESCENARIO ALTO – PLAN DE COSTOS</t>
        </is>
      </c>
    </row>
    <row r="2">
      <c r="B2" s="32" t="inlineStr">
        <is>
          <t>CuTuCo (Cultiva Tu Compra) – Marketplace SaaS B2B2C | Duoc UC Plaza Norte – Ingeniería en Informática</t>
        </is>
      </c>
    </row>
    <row r="3">
      <c r="B3" s="33" t="inlineStr">
        <is>
          <t>Duración: 13 semanas (11/09/2026 – 10/12/2026) | Equipo: Vicente Rivera e Ignacio Fuenzalida | Moneda: pesos chilenos (CLP)</t>
        </is>
      </c>
    </row>
    <row r="4" ht="30" customHeight="1">
      <c r="B4" s="34" t="inlineStr">
        <is>
          <t>Opción B: infraestructura productiva con redundancia, cumplimiento y revisión de seguridad externa. Mayor dedicación del equipo.</t>
        </is>
      </c>
    </row>
    <row r="5" ht="15" customHeight="1">
      <c r="B5" s="26" t="inlineStr">
        <is>
          <t>SUPUESTOS (celdas azules con fondo amarillo = editables)</t>
        </is>
      </c>
      <c r="C5" s="35" t="n"/>
      <c r="D5" s="35" t="n"/>
      <c r="E5" s="35" t="n"/>
      <c r="F5" s="35" t="n"/>
      <c r="G5" s="36" t="n"/>
    </row>
    <row r="6" ht="19.5" customHeight="1">
      <c r="B6" s="24" t="inlineStr">
        <is>
          <t>Tipo de cambio (CLP por USD)</t>
        </is>
      </c>
      <c r="C6" s="4" t="n">
        <v>950</v>
      </c>
      <c r="D6" s="30" t="inlineStr">
        <is>
          <t>Supuesto del equipo; ajustar al valor del día de pago.</t>
        </is>
      </c>
      <c r="E6" s="35" t="n"/>
      <c r="F6" s="35" t="n"/>
      <c r="G6" s="36" t="n"/>
    </row>
    <row r="7" ht="19.5" customHeight="1">
      <c r="B7" s="24" t="inlineStr">
        <is>
          <t>Duración del proyecto (meses)</t>
        </is>
      </c>
      <c r="C7" s="5" t="n">
        <v>3</v>
      </c>
      <c r="D7" s="30" t="inlineStr">
        <is>
          <t>13 semanas ≈ 3 meses.</t>
        </is>
      </c>
      <c r="E7" s="35" t="n"/>
      <c r="F7" s="35" t="n"/>
      <c r="G7" s="36" t="n"/>
    </row>
    <row r="8" ht="19.5" customHeight="1">
      <c r="B8" s="24" t="inlineStr">
        <is>
          <t>Semanas de trabajo</t>
        </is>
      </c>
      <c r="C8" s="5" t="n">
        <v>13</v>
      </c>
      <c r="D8" s="30" t="inlineStr">
        <is>
          <t>Acta de Constitución: semanas 1 a 13.</t>
        </is>
      </c>
      <c r="E8" s="35" t="n"/>
      <c r="F8" s="35" t="n"/>
      <c r="G8" s="36" t="n"/>
    </row>
    <row r="9" ht="19.5" customHeight="1">
      <c r="B9" s="24" t="inlineStr">
        <is>
          <t>Horas por semana por integrante</t>
        </is>
      </c>
      <c r="C9" s="5" t="n">
        <v>28</v>
      </c>
      <c r="D9" s="30" t="inlineStr">
        <is>
          <t>Dedicación estimada compatible con la carga académica.</t>
        </is>
      </c>
      <c r="E9" s="35" t="n"/>
      <c r="F9" s="35" t="n"/>
      <c r="G9" s="36" t="n"/>
    </row>
    <row r="10" ht="19.5" customHeight="1">
      <c r="B10" s="24" t="inlineStr">
        <is>
          <t>Contingencia sobre el subtotal</t>
        </is>
      </c>
      <c r="C10" s="6" t="n">
        <v>0.2</v>
      </c>
      <c r="D10" s="30" t="inlineStr">
        <is>
          <t>Reserva alta por integraciones reales (Webpay) y revisión externa.</t>
        </is>
      </c>
      <c r="E10" s="35" t="n"/>
      <c r="F10" s="35" t="n"/>
      <c r="G10" s="36" t="n"/>
    </row>
    <row r="11" ht="19.5" customHeight="1">
      <c r="B11" s="24" t="inlineStr">
        <is>
          <t>Valor de un notebook propio (CLP)</t>
        </is>
      </c>
      <c r="C11" s="4" t="n">
        <v>1000000</v>
      </c>
      <c r="D11" s="30" t="inlineStr">
        <is>
          <t>Estimación de mercado Chile.</t>
        </is>
      </c>
      <c r="E11" s="35" t="n"/>
      <c r="F11" s="35" t="n"/>
      <c r="G11" s="36" t="n"/>
    </row>
    <row r="12" ht="19.5" customHeight="1">
      <c r="B12" s="24" t="inlineStr">
        <is>
          <t>Vida útil del notebook (meses)</t>
        </is>
      </c>
      <c r="C12" s="5" t="n">
        <v>36</v>
      </c>
      <c r="D12" s="30" t="inlineStr">
        <is>
          <t>Depreciación lineal.</t>
        </is>
      </c>
      <c r="E12" s="35" t="n"/>
      <c r="F12" s="35" t="n"/>
      <c r="G12" s="36" t="n"/>
    </row>
    <row r="13">
      <c r="B13" s="7" t="n"/>
      <c r="C13" s="7" t="n"/>
      <c r="D13" s="7" t="n"/>
      <c r="E13" s="7" t="n"/>
      <c r="F13" s="7" t="n"/>
      <c r="G13" s="7" t="n"/>
    </row>
    <row r="14" ht="15" customHeight="1">
      <c r="B14" s="26" t="inlineStr">
        <is>
          <t>1. RECURSO HUMANO (valorizado a precio de mercado; no es desembolso)</t>
        </is>
      </c>
      <c r="C14" s="35" t="n"/>
      <c r="D14" s="35" t="n"/>
      <c r="E14" s="35" t="n"/>
      <c r="F14" s="35" t="n"/>
      <c r="G14" s="36" t="n"/>
    </row>
    <row r="15" ht="30" customHeight="1">
      <c r="B15" s="26" t="inlineStr">
        <is>
          <t>Rol</t>
        </is>
      </c>
      <c r="C15" s="26" t="inlineStr">
        <is>
          <t>Responsable</t>
        </is>
      </c>
      <c r="D15" s="26" t="inlineStr">
        <is>
          <t>Horas</t>
        </is>
      </c>
      <c r="E15" s="26" t="inlineStr">
        <is>
          <t>Valor hora (CLP)</t>
        </is>
      </c>
      <c r="F15" s="26" t="inlineStr">
        <is>
          <t>Costo (CLP)</t>
        </is>
      </c>
      <c r="G15" s="26" t="inlineStr">
        <is>
          <t>Observación</t>
        </is>
      </c>
    </row>
    <row r="16" ht="30" customHeight="1">
      <c r="B16" s="24" t="inlineStr">
        <is>
          <t>Jefe de Proyecto (JP)</t>
        </is>
      </c>
      <c r="C16" s="24" t="inlineStr">
        <is>
          <t>Vicente Rivera</t>
        </is>
      </c>
      <c r="D16" s="8" t="n">
        <v>65</v>
      </c>
      <c r="E16" s="9" t="n">
        <v>13388</v>
      </c>
      <c r="F16" s="10">
        <f>D16*E16</f>
        <v/>
      </c>
      <c r="G16" s="24" t="inlineStr">
        <is>
          <t>Costo empresa $2.142.000 / 160 h. Gestión, control y coordinación.</t>
        </is>
      </c>
    </row>
    <row r="17" ht="30" customHeight="1">
      <c r="B17" s="24" t="inlineStr">
        <is>
          <t>Arquitecto de Software (ASW)</t>
        </is>
      </c>
      <c r="C17" s="24" t="inlineStr">
        <is>
          <t>Vicente Rivera</t>
        </is>
      </c>
      <c r="D17" s="8" t="n">
        <v>65</v>
      </c>
      <c r="E17" s="9" t="n">
        <v>11156</v>
      </c>
      <c r="F17" s="10">
        <f>D17*E17</f>
        <v/>
      </c>
      <c r="G17" s="24" t="inlineStr">
        <is>
          <t>Costo empresa $1.785.000 / 160 h. Arquitectura y despliegue.</t>
        </is>
      </c>
    </row>
    <row r="18" ht="30" customHeight="1">
      <c r="B18" s="24" t="inlineStr">
        <is>
          <t>Administrador de BBDD (DBA)</t>
        </is>
      </c>
      <c r="C18" s="24" t="inlineStr">
        <is>
          <t>Vicente Rivera</t>
        </is>
      </c>
      <c r="D18" s="8" t="n">
        <v>60</v>
      </c>
      <c r="E18" s="9" t="n">
        <v>10041</v>
      </c>
      <c r="F18" s="10">
        <f>D18*E18</f>
        <v/>
      </c>
      <c r="G18" s="24" t="inlineStr">
        <is>
          <t>Costo empresa $1.606.500 / 160 h. PostgreSQL, RLS y scripts.</t>
        </is>
      </c>
    </row>
    <row r="19" ht="30" customHeight="1">
      <c r="B19" s="24" t="inlineStr">
        <is>
          <t>Programador Full Stack 1 – Backend (PFS 1)</t>
        </is>
      </c>
      <c r="C19" s="24" t="inlineStr">
        <is>
          <t>Vicente Rivera</t>
        </is>
      </c>
      <c r="D19" s="8" t="n">
        <v>160</v>
      </c>
      <c r="E19" s="9" t="n">
        <v>7438</v>
      </c>
      <c r="F19" s="10">
        <f>D19*E19</f>
        <v/>
      </c>
      <c r="G19" s="24" t="inlineStr">
        <is>
          <t>Costo empresa $1.190.000 / 160 h. FastAPI, pagos y correos.</t>
        </is>
      </c>
    </row>
    <row r="20" ht="30" customHeight="1">
      <c r="B20" s="24" t="inlineStr">
        <is>
          <t>Analista de Procesos (AP)</t>
        </is>
      </c>
      <c r="C20" s="24" t="inlineStr">
        <is>
          <t>Ignacio Fuenzalida</t>
        </is>
      </c>
      <c r="D20" s="8" t="n">
        <v>90</v>
      </c>
      <c r="E20" s="9" t="n">
        <v>5950</v>
      </c>
      <c r="F20" s="10">
        <f>D20*E20</f>
        <v/>
      </c>
      <c r="G20" s="24" t="inlineStr">
        <is>
          <t>Costo empresa $952.000 / 160 h. ERS, mockups y pruebas.</t>
        </is>
      </c>
    </row>
    <row r="21" ht="30" customHeight="1">
      <c r="B21" s="24" t="inlineStr">
        <is>
          <t>Programador Full Stack 2 – Frontend (PFS 2)</t>
        </is>
      </c>
      <c r="C21" s="24" t="inlineStr">
        <is>
          <t>Ignacio Fuenzalida</t>
        </is>
      </c>
      <c r="D21" s="8" t="n">
        <v>260</v>
      </c>
      <c r="E21" s="9" t="n">
        <v>9669</v>
      </c>
      <c r="F21" s="10">
        <f>D21*E21</f>
        <v/>
      </c>
      <c r="G21" s="24" t="inlineStr">
        <is>
          <t>Costo empresa $1.547.000 / 160 h. Vue.js + Vite.</t>
        </is>
      </c>
    </row>
    <row r="22" ht="30" customHeight="1">
      <c r="B22" s="29" t="inlineStr">
        <is>
          <t>Subtotal recurso humano</t>
        </is>
      </c>
      <c r="C22" s="36" t="n"/>
      <c r="D22" s="11">
        <f>SUM(D16:D21)</f>
        <v/>
      </c>
      <c r="E22" s="12" t="n"/>
      <c r="F22" s="13">
        <f>SUM(F16:F21)</f>
        <v/>
      </c>
      <c r="G22" s="14" t="inlineStr">
        <is>
          <t>Valor hora tomado de la tabla de roles del Acta (talent.com).</t>
        </is>
      </c>
    </row>
    <row r="23" ht="30" customHeight="1">
      <c r="B23" s="30" t="inlineStr">
        <is>
          <t>Control de horas: Vicente Rivera</t>
        </is>
      </c>
      <c r="C23" s="30" t="inlineStr">
        <is>
          <t>Asignadas / disponibles</t>
        </is>
      </c>
      <c r="D23" s="15">
        <f>SUMIF($C$16:$C$21,"Vicente Rivera",$D$16:$D$21)</f>
        <v/>
      </c>
      <c r="E23" s="15">
        <f>$C$8*$C$9</f>
        <v/>
      </c>
      <c r="F23" s="16">
        <f>IF(D23&lt;=E23,"OK","Excede")</f>
        <v/>
      </c>
      <c r="G23" s="30" t="inlineStr">
        <is>
          <t>Las horas asignadas no deben superar las disponibles.</t>
        </is>
      </c>
    </row>
    <row r="24" ht="30" customHeight="1">
      <c r="B24" s="30" t="inlineStr">
        <is>
          <t>Control de horas: Ignacio Fuenzalida</t>
        </is>
      </c>
      <c r="C24" s="30" t="inlineStr">
        <is>
          <t>Asignadas / disponibles</t>
        </is>
      </c>
      <c r="D24" s="15">
        <f>SUMIF($C$16:$C$21,"Ignacio Fuenzalida",$D$16:$D$21)</f>
        <v/>
      </c>
      <c r="E24" s="15">
        <f>$C$8*$C$9</f>
        <v/>
      </c>
      <c r="F24" s="16">
        <f>IF(D24&lt;=E24,"OK","Excede")</f>
        <v/>
      </c>
      <c r="G24" s="30" t="inlineStr">
        <is>
          <t>Las horas asignadas no deben superar las disponibles.</t>
        </is>
      </c>
    </row>
    <row r="25" ht="30" customHeight="1">
      <c r="B25" s="7" t="n"/>
      <c r="C25" s="7" t="n"/>
      <c r="D25" s="7" t="n"/>
      <c r="E25" s="7" t="n"/>
      <c r="F25" s="7" t="n"/>
      <c r="G25" s="7" t="n"/>
    </row>
    <row r="26" ht="30" customHeight="1">
      <c r="B26" s="26" t="inlineStr">
        <is>
          <t>2. INFRAESTRUCTURA Y SERVICIOS – OPCIÓN B (PRODUCCIÓN CON REDUNDANCIA)</t>
        </is>
      </c>
      <c r="C26" s="35" t="n"/>
      <c r="D26" s="35" t="n"/>
      <c r="E26" s="35" t="n"/>
      <c r="F26" s="35" t="n"/>
      <c r="G26" s="36" t="n"/>
    </row>
    <row r="27" ht="30" customHeight="1">
      <c r="B27" s="26" t="inlineStr">
        <is>
          <t>Servicio</t>
        </is>
      </c>
      <c r="C27" s="26" t="inlineStr">
        <is>
          <t>Uso en CuTuCo</t>
        </is>
      </c>
      <c r="D27" s="26" t="inlineStr">
        <is>
          <t>Cantidad</t>
        </is>
      </c>
      <c r="E27" s="26" t="inlineStr">
        <is>
          <t>Valor unit. (USD)</t>
        </is>
      </c>
      <c r="F27" s="26" t="inlineStr">
        <is>
          <t>Costo (CLP)</t>
        </is>
      </c>
      <c r="G27" s="26" t="inlineStr">
        <is>
          <t>Observación</t>
        </is>
      </c>
    </row>
    <row r="28" ht="30" customHeight="1">
      <c r="B28" s="24" t="inlineStr">
        <is>
          <t>Dominio web (.cl / .com)</t>
        </is>
      </c>
      <c r="C28" s="24" t="inlineStr">
        <is>
          <t>Acceso público</t>
        </is>
      </c>
      <c r="D28" s="17" t="n">
        <v>1</v>
      </c>
      <c r="E28" s="18" t="n">
        <v>15</v>
      </c>
      <c r="F28" s="10">
        <f>D28*E28*$C$6</f>
        <v/>
      </c>
      <c r="G28" s="24" t="inlineStr">
        <is>
          <t>Cantidad en años. Estimación de mercado.</t>
        </is>
      </c>
    </row>
    <row r="29" ht="30" customHeight="1">
      <c r="B29" s="24" t="inlineStr">
        <is>
          <t>Vercel Pro</t>
        </is>
      </c>
      <c r="C29" s="24" t="inlineStr">
        <is>
          <t>Frontend Vue.js + Vite</t>
        </is>
      </c>
      <c r="D29" s="17" t="n">
        <v>3</v>
      </c>
      <c r="E29" s="18" t="n">
        <v>20</v>
      </c>
      <c r="F29" s="10">
        <f>D29*E29*$C$6</f>
        <v/>
      </c>
      <c r="G29" s="24" t="inlineStr">
        <is>
          <t>Cantidad en meses. USD 20 por usuario al mes.</t>
        </is>
      </c>
    </row>
    <row r="30" ht="30" customHeight="1">
      <c r="B30" s="24" t="inlineStr">
        <is>
          <t>Supabase Pro</t>
        </is>
      </c>
      <c r="C30" s="24" t="inlineStr">
        <is>
          <t>PostgreSQL, Auth, PostgREST, Storage</t>
        </is>
      </c>
      <c r="D30" s="17" t="n">
        <v>3</v>
      </c>
      <c r="E30" s="18" t="n">
        <v>25</v>
      </c>
      <c r="F30" s="10">
        <f>D30*E30*$C$6</f>
        <v/>
      </c>
      <c r="G30" s="24" t="inlineStr">
        <is>
          <t>Cantidad en meses. Incluye respaldos diarios.</t>
        </is>
      </c>
    </row>
    <row r="31" ht="30" customHeight="1">
      <c r="B31" s="24" t="inlineStr">
        <is>
          <t>GCP Cloud Run (2 regiones) + Secret Manager</t>
        </is>
      </c>
      <c r="C31" s="24" t="inlineStr">
        <is>
          <t>FastAPI + Docker con redundancia</t>
        </is>
      </c>
      <c r="D31" s="17" t="n">
        <v>3</v>
      </c>
      <c r="E31" s="18" t="n">
        <v>40</v>
      </c>
      <c r="F31" s="10">
        <f>D31*E31*$C$6</f>
        <v/>
      </c>
      <c r="G31" s="24" t="inlineStr">
        <is>
          <t>Cantidad en meses. Cerca de 40% más que la Opción A (informe).</t>
        </is>
      </c>
    </row>
    <row r="32" ht="30" customHeight="1">
      <c r="B32" s="24" t="inlineStr">
        <is>
          <t>Resend Pro</t>
        </is>
      </c>
      <c r="C32" s="24" t="inlineStr">
        <is>
          <t>Correos de Auth (SMTP) y de negocio (API)</t>
        </is>
      </c>
      <c r="D32" s="17" t="n">
        <v>3</v>
      </c>
      <c r="E32" s="18" t="n">
        <v>20</v>
      </c>
      <c r="F32" s="10">
        <f>D32*E32*$C$6</f>
        <v/>
      </c>
      <c r="G32" s="24" t="inlineStr">
        <is>
          <t>Cantidad en meses. Mayor volumen de correos.</t>
        </is>
      </c>
    </row>
    <row r="33" ht="30" customHeight="1">
      <c r="B33" s="24" t="inlineStr">
        <is>
          <t>Transbank Webpay Mall (producción)</t>
        </is>
      </c>
      <c r="C33" s="24" t="inlineStr">
        <is>
          <t>Pagos reales</t>
        </is>
      </c>
      <c r="D33" s="17" t="n">
        <v>3</v>
      </c>
      <c r="E33" s="18" t="n">
        <v>0</v>
      </c>
      <c r="F33" s="10">
        <f>D33*E33*$C$6</f>
        <v/>
      </c>
      <c r="G33" s="24" t="inlineStr">
        <is>
          <t>Sin costo fijo; comisiones por transacción variables y no incluidas.</t>
        </is>
      </c>
    </row>
    <row r="34" ht="30" customHeight="1">
      <c r="B34" s="24" t="inlineStr">
        <is>
          <t>GitHub Team</t>
        </is>
      </c>
      <c r="C34" s="24" t="inlineStr">
        <is>
          <t>Repositorio y CI/CD (2 usuarios)</t>
        </is>
      </c>
      <c r="D34" s="17" t="n">
        <v>3</v>
      </c>
      <c r="E34" s="18" t="n">
        <v>8</v>
      </c>
      <c r="F34" s="10">
        <f>D34*E34*$C$6</f>
        <v/>
      </c>
      <c r="G34" s="24" t="inlineStr">
        <is>
          <t>Cantidad en meses. USD 4 por usuario al mes.</t>
        </is>
      </c>
    </row>
    <row r="35" ht="30" customHeight="1">
      <c r="B35" s="29" t="inlineStr">
        <is>
          <t>Subtotal infraestructura (desembolso)</t>
        </is>
      </c>
      <c r="C35" s="35" t="n"/>
      <c r="D35" s="35" t="n"/>
      <c r="E35" s="36" t="n"/>
      <c r="F35" s="13">
        <f>SUM(F28:F34)</f>
        <v/>
      </c>
      <c r="G35" s="14" t="inlineStr">
        <is>
          <t>Costo mensual aproximado de USD 113, dentro del rango USD 100 a 120 del informe.</t>
        </is>
      </c>
    </row>
    <row r="36" ht="30" customHeight="1">
      <c r="B36" s="7" t="n"/>
      <c r="C36" s="7" t="n"/>
      <c r="D36" s="7" t="n"/>
      <c r="E36" s="7" t="n"/>
      <c r="F36" s="7" t="n"/>
      <c r="G36" s="7" t="n"/>
    </row>
    <row r="37" ht="30" customHeight="1">
      <c r="B37" s="26" t="inlineStr">
        <is>
          <t>3. OTROS COSTOS DEL PROYECTO</t>
        </is>
      </c>
      <c r="C37" s="35" t="n"/>
      <c r="D37" s="35" t="n"/>
      <c r="E37" s="35" t="n"/>
      <c r="F37" s="35" t="n"/>
      <c r="G37" s="36" t="n"/>
    </row>
    <row r="38" ht="30" customHeight="1">
      <c r="B38" s="26" t="inlineStr">
        <is>
          <t>Concepto</t>
        </is>
      </c>
      <c r="C38" s="26" t="inlineStr">
        <is>
          <t>Detalle</t>
        </is>
      </c>
      <c r="D38" s="26" t="inlineStr">
        <is>
          <t>Cantidad</t>
        </is>
      </c>
      <c r="E38" s="26" t="inlineStr">
        <is>
          <t>Valor unit. (CLP)</t>
        </is>
      </c>
      <c r="F38" s="26" t="inlineStr">
        <is>
          <t>Costo (CLP)</t>
        </is>
      </c>
      <c r="G38" s="26" t="inlineStr">
        <is>
          <t>Observación</t>
        </is>
      </c>
    </row>
    <row r="39" ht="30" customHeight="1">
      <c r="B39" s="24" t="inlineStr">
        <is>
          <t>Internet y electricidad (trabajo remoto)</t>
        </is>
      </c>
      <c r="C39" s="24" t="inlineStr">
        <is>
          <t>Persona-mes</t>
        </is>
      </c>
      <c r="D39" s="19">
        <f>2*$C$7</f>
        <v/>
      </c>
      <c r="E39" s="9" t="n">
        <v>35000</v>
      </c>
      <c r="F39" s="10">
        <f>D39*E39</f>
        <v/>
      </c>
      <c r="G39" s="24" t="inlineStr">
        <is>
          <t>Supuesto: $35.000 mensuales por integrante.</t>
        </is>
      </c>
    </row>
    <row r="40" ht="30" customHeight="1">
      <c r="B40" s="24" t="inlineStr">
        <is>
          <t>Depreciación de notebooks propios</t>
        </is>
      </c>
      <c r="C40" s="24" t="inlineStr">
        <is>
          <t>Equipo-mes</t>
        </is>
      </c>
      <c r="D40" s="19">
        <f>2*$C$7</f>
        <v/>
      </c>
      <c r="E40" s="10">
        <f>ROUND($C$11/$C$12,0)</f>
        <v/>
      </c>
      <c r="F40" s="10">
        <f>D40*E40</f>
        <v/>
      </c>
      <c r="G40" s="24" t="inlineStr">
        <is>
          <t>Valor del equipo / vida útil. No se compran equipos nuevos.</t>
        </is>
      </c>
    </row>
    <row r="41" ht="30" customHeight="1">
      <c r="B41" s="24" t="inlineStr">
        <is>
          <t>Impresión y material de la presentación final</t>
        </is>
      </c>
      <c r="C41" s="24" t="inlineStr">
        <is>
          <t>Global</t>
        </is>
      </c>
      <c r="D41" s="17" t="n">
        <v>1</v>
      </c>
      <c r="E41" s="9" t="n">
        <v>60000</v>
      </c>
      <c r="F41" s="10">
        <f>D41*E41</f>
        <v/>
      </c>
      <c r="G41" s="24" t="inlineStr">
        <is>
          <t>Supuesto del equipo.</t>
        </is>
      </c>
    </row>
    <row r="42" ht="30" customHeight="1">
      <c r="B42" s="24" t="inlineStr">
        <is>
          <t>Herramientas de desarrollo y diseño</t>
        </is>
      </c>
      <c r="C42" s="24" t="inlineStr">
        <is>
          <t>Figma Professional (2 licencias)</t>
        </is>
      </c>
      <c r="D42" s="17" t="n">
        <v>6</v>
      </c>
      <c r="E42" s="9" t="n">
        <v>14250</v>
      </c>
      <c r="F42" s="10">
        <f>D42*E42</f>
        <v/>
      </c>
      <c r="G42" s="24" t="inlineStr">
        <is>
          <t>Cantidad en licencias-mes. USD 15 por licencia (a $950).</t>
        </is>
      </c>
    </row>
    <row r="43" ht="30" customHeight="1">
      <c r="B43" s="24" t="inlineStr">
        <is>
          <t>Asesoría legal</t>
        </is>
      </c>
      <c r="C43" s="24" t="inlineStr">
        <is>
          <t>Términos, privacidad, Transbank</t>
        </is>
      </c>
      <c r="D43" s="17" t="n">
        <v>1</v>
      </c>
      <c r="E43" s="9" t="n">
        <v>250000</v>
      </c>
      <c r="F43" s="10">
        <f>D43*E43</f>
        <v/>
      </c>
      <c r="G43" s="24" t="inlineStr">
        <is>
          <t>Revisión única; necesaria para cobrar a clientes reales.</t>
        </is>
      </c>
    </row>
    <row r="44" ht="30" customHeight="1">
      <c r="B44" s="24" t="inlineStr">
        <is>
          <t>Revisión de seguridad externa</t>
        </is>
      </c>
      <c r="C44" s="24" t="inlineStr">
        <is>
          <t>Pruebas de seguridad</t>
        </is>
      </c>
      <c r="D44" s="17" t="n">
        <v>1</v>
      </c>
      <c r="E44" s="9" t="n">
        <v>400000</v>
      </c>
      <c r="F44" s="10">
        <f>D44*E44</f>
        <v/>
      </c>
      <c r="G44" s="24" t="inlineStr">
        <is>
          <t>Revisa RLS, pagos y manejo de datos bancarios del productor.</t>
        </is>
      </c>
    </row>
    <row r="45" ht="30" customHeight="1">
      <c r="B45" s="29" t="inlineStr">
        <is>
          <t>Subtotal otros costos (desembolso)</t>
        </is>
      </c>
      <c r="C45" s="35" t="n"/>
      <c r="D45" s="35" t="n"/>
      <c r="E45" s="36" t="n"/>
      <c r="F45" s="13">
        <f>SUM(F39:F44)</f>
        <v/>
      </c>
      <c r="G45" s="12" t="n"/>
    </row>
    <row r="46" ht="30" customHeight="1">
      <c r="B46" s="7" t="n"/>
      <c r="C46" s="7" t="n"/>
      <c r="D46" s="7" t="n"/>
      <c r="E46" s="7" t="n"/>
      <c r="F46" s="7" t="n"/>
      <c r="G46" s="7" t="n"/>
    </row>
    <row r="47" ht="30" customHeight="1">
      <c r="B47" s="26" t="inlineStr">
        <is>
          <t>4. RESUMEN DEL PRESUPUESTO ESTIMADO</t>
        </is>
      </c>
      <c r="C47" s="35" t="n"/>
      <c r="D47" s="35" t="n"/>
      <c r="E47" s="35" t="n"/>
      <c r="F47" s="35" t="n"/>
      <c r="G47" s="36" t="n"/>
    </row>
    <row r="48" ht="30" customHeight="1">
      <c r="B48" s="26" t="inlineStr">
        <is>
          <t>Concepto</t>
        </is>
      </c>
      <c r="C48" s="35" t="n"/>
      <c r="D48" s="35" t="n"/>
      <c r="E48" s="36" t="n"/>
      <c r="F48" s="26" t="inlineStr">
        <is>
          <t>Monto (CLP)</t>
        </is>
      </c>
      <c r="G48" s="26" t="inlineStr">
        <is>
          <t>Observación</t>
        </is>
      </c>
    </row>
    <row r="49" ht="30" customHeight="1">
      <c r="B49" s="24" t="inlineStr">
        <is>
          <t>Desembolso en efectivo (infraestructura + otros costos)</t>
        </is>
      </c>
      <c r="C49" s="35" t="n"/>
      <c r="D49" s="35" t="n"/>
      <c r="E49" s="36" t="n"/>
      <c r="F49" s="10">
        <f>F35+F45</f>
        <v/>
      </c>
      <c r="G49" s="30" t="inlineStr">
        <is>
          <t>Dinero que realmente se paga.</t>
        </is>
      </c>
    </row>
    <row r="50" ht="30" customHeight="1">
      <c r="B50" s="24" t="inlineStr">
        <is>
          <t>Recurso humano valorizado</t>
        </is>
      </c>
      <c r="C50" s="35" t="n"/>
      <c r="D50" s="35" t="n"/>
      <c r="E50" s="36" t="n"/>
      <c r="F50" s="10">
        <f>F22</f>
        <v/>
      </c>
      <c r="G50" s="30" t="inlineStr">
        <is>
          <t>Referencia de mercado; el equipo no recibe pago.</t>
        </is>
      </c>
    </row>
    <row r="51" ht="30" customHeight="1">
      <c r="B51" s="28" t="inlineStr">
        <is>
          <t>Subtotal del proyecto</t>
        </is>
      </c>
      <c r="C51" s="35" t="n"/>
      <c r="D51" s="35" t="n"/>
      <c r="E51" s="36" t="n"/>
      <c r="F51" s="20">
        <f>F49+F50</f>
        <v/>
      </c>
      <c r="G51" s="21" t="n"/>
    </row>
    <row r="52" ht="30" customHeight="1">
      <c r="B52" s="24" t="inlineStr">
        <is>
          <t>Contingencia</t>
        </is>
      </c>
      <c r="C52" s="35" t="n"/>
      <c r="D52" s="35" t="n"/>
      <c r="E52" s="36" t="n"/>
      <c r="F52" s="10">
        <f>F51*$C$10</f>
        <v/>
      </c>
      <c r="G52" s="30" t="inlineStr">
        <is>
          <t>Porcentaje definido en los supuestos.</t>
        </is>
      </c>
    </row>
    <row r="53" ht="30" customHeight="1">
      <c r="B53" s="29" t="inlineStr">
        <is>
          <t>TOTAL PRESUPUESTO ESTIMADO</t>
        </is>
      </c>
      <c r="C53" s="35" t="n"/>
      <c r="D53" s="35" t="n"/>
      <c r="E53" s="36" t="n"/>
      <c r="F53" s="13">
        <f>F51+F52</f>
        <v/>
      </c>
      <c r="G53" s="14" t="inlineStr">
        <is>
          <t>Valor total del proyecto.</t>
        </is>
      </c>
    </row>
    <row r="54" ht="30" customHeight="1">
      <c r="B54" s="24" t="inlineStr">
        <is>
          <t>Total presupuesto estimado en USD</t>
        </is>
      </c>
      <c r="C54" s="35" t="n"/>
      <c r="D54" s="35" t="n"/>
      <c r="E54" s="36" t="n"/>
      <c r="F54" s="22">
        <f>F53/$C$6</f>
        <v/>
      </c>
      <c r="G54" s="30" t="inlineStr">
        <is>
          <t>Según el tipo de cambio supuesto.</t>
        </is>
      </c>
    </row>
    <row r="55" ht="30" customHeight="1">
      <c r="B55" s="25" t="inlineStr">
        <is>
          <t>Desembolso en efectivo con contingencia</t>
        </is>
      </c>
      <c r="C55" s="35" t="n"/>
      <c r="D55" s="35" t="n"/>
      <c r="E55" s="36" t="n"/>
      <c r="F55" s="23">
        <f>F49*(1+$C$10)</f>
        <v/>
      </c>
      <c r="G55" s="30" t="inlineStr">
        <is>
          <t>Monto mínimo a tener disponible.</t>
        </is>
      </c>
    </row>
    <row r="56" ht="30" customHeight="1">
      <c r="B56" s="7" t="n"/>
      <c r="C56" s="7" t="n"/>
      <c r="D56" s="7" t="n"/>
      <c r="E56" s="7" t="n"/>
      <c r="F56" s="7" t="n"/>
      <c r="G56" s="7" t="n"/>
    </row>
    <row r="57" ht="30" customHeight="1">
      <c r="B57" s="26" t="inlineStr">
        <is>
          <t>5. PROYECCIÓN ANUAL DE CONTINUIDAD (OPCIÓN B) – REFERENCIAL, NO INCLUIDA EN EL TOTAL</t>
        </is>
      </c>
      <c r="C57" s="35" t="n"/>
      <c r="D57" s="35" t="n"/>
      <c r="E57" s="35" t="n"/>
      <c r="F57" s="35" t="n"/>
      <c r="G57" s="36" t="n"/>
    </row>
    <row r="58" ht="30" customHeight="1">
      <c r="B58" s="26" t="inlineStr">
        <is>
          <t>Escenario</t>
        </is>
      </c>
      <c r="C58" s="26" t="inlineStr">
        <is>
          <t>Detalle</t>
        </is>
      </c>
      <c r="D58" s="26" t="inlineStr">
        <is>
          <t>Meses</t>
        </is>
      </c>
      <c r="E58" s="26" t="inlineStr">
        <is>
          <t>Valor mensual (USD)</t>
        </is>
      </c>
      <c r="F58" s="26" t="inlineStr">
        <is>
          <t>Costo (CLP)</t>
        </is>
      </c>
      <c r="G58" s="26" t="inlineStr">
        <is>
          <t>Observación</t>
        </is>
      </c>
    </row>
    <row r="59" ht="30" customHeight="1">
      <c r="B59" s="24" t="inlineStr">
        <is>
          <t>Mínimo mensual</t>
        </is>
      </c>
      <c r="C59" s="24" t="inlineStr">
        <is>
          <t>Infraestructura productiva</t>
        </is>
      </c>
      <c r="D59" s="17" t="n">
        <v>1</v>
      </c>
      <c r="E59" s="18" t="n">
        <v>100</v>
      </c>
      <c r="F59" s="10">
        <f>D59*E59*$C$6</f>
        <v/>
      </c>
      <c r="G59" s="24" t="inlineStr">
        <is>
          <t>Rango del informe: USD 100 a 120 al mes.</t>
        </is>
      </c>
    </row>
    <row r="60" ht="30" customHeight="1">
      <c r="B60" s="24" t="inlineStr">
        <is>
          <t>Máximo mensual</t>
        </is>
      </c>
      <c r="C60" s="24" t="inlineStr">
        <is>
          <t>Infraestructura productiva</t>
        </is>
      </c>
      <c r="D60" s="17" t="n">
        <v>1</v>
      </c>
      <c r="E60" s="18" t="n">
        <v>120</v>
      </c>
      <c r="F60" s="10">
        <f>D60*E60*$C$6</f>
        <v/>
      </c>
      <c r="G60" s="24" t="inlineStr">
        <is>
          <t>Rango del informe: USD 100 a 120 al mes.</t>
        </is>
      </c>
    </row>
    <row r="61" ht="30" customHeight="1">
      <c r="B61" s="24" t="inlineStr">
        <is>
          <t>Mínimo anual</t>
        </is>
      </c>
      <c r="C61" s="24" t="inlineStr">
        <is>
          <t>Primer año en producción</t>
        </is>
      </c>
      <c r="D61" s="17" t="n">
        <v>12</v>
      </c>
      <c r="E61" s="18" t="n">
        <v>100</v>
      </c>
      <c r="F61" s="10">
        <f>D61*E61*$C$6</f>
        <v/>
      </c>
      <c r="G61" s="24" t="inlineStr">
        <is>
          <t>Proyección de continuidad.</t>
        </is>
      </c>
    </row>
    <row r="62" ht="30" customHeight="1">
      <c r="B62" s="24" t="inlineStr">
        <is>
          <t>Máximo anual</t>
        </is>
      </c>
      <c r="C62" s="24" t="inlineStr">
        <is>
          <t>Primer año en producción</t>
        </is>
      </c>
      <c r="D62" s="17" t="n">
        <v>12</v>
      </c>
      <c r="E62" s="18" t="n">
        <v>120</v>
      </c>
      <c r="F62" s="10">
        <f>D62*E62*$C$6</f>
        <v/>
      </c>
      <c r="G62" s="24" t="inlineStr">
        <is>
          <t>Más comisiones Webpay por transacción (variables, no incluidas).</t>
        </is>
      </c>
    </row>
    <row r="63" ht="30" customHeight="1">
      <c r="B63" s="7" t="n"/>
      <c r="C63" s="7" t="n"/>
      <c r="D63" s="7" t="n"/>
      <c r="E63" s="7" t="n"/>
      <c r="F63" s="7" t="n"/>
      <c r="G63" s="7" t="n"/>
    </row>
    <row r="64" ht="30" customHeight="1">
      <c r="B64" s="27" t="n"/>
    </row>
  </sheetData>
  <mergeCells count="29">
    <mergeCell ref="B2:G2"/>
    <mergeCell ref="D9:G9"/>
    <mergeCell ref="B49:E49"/>
    <mergeCell ref="D12:G12"/>
    <mergeCell ref="B14:G14"/>
    <mergeCell ref="D8:G8"/>
    <mergeCell ref="B1:G1"/>
    <mergeCell ref="B57:G57"/>
    <mergeCell ref="B22:C22"/>
    <mergeCell ref="B55:E55"/>
    <mergeCell ref="B51:E51"/>
    <mergeCell ref="B45:E45"/>
    <mergeCell ref="B35:E35"/>
    <mergeCell ref="B50:E50"/>
    <mergeCell ref="B37:G37"/>
    <mergeCell ref="B54:E54"/>
    <mergeCell ref="D10:G10"/>
    <mergeCell ref="B64:G64"/>
    <mergeCell ref="B5:G5"/>
    <mergeCell ref="D6:G6"/>
    <mergeCell ref="B52:E52"/>
    <mergeCell ref="B48:E48"/>
    <mergeCell ref="B4:G4"/>
    <mergeCell ref="B26:G26"/>
    <mergeCell ref="D11:G11"/>
    <mergeCell ref="B3:G3"/>
    <mergeCell ref="B47:G47"/>
    <mergeCell ref="B53:E53"/>
    <mergeCell ref="D7:G7"/>
  </mergeCells>
  <pageMargins left="0.25" right="0.25" top="0.75" bottom="0.75" header="0.3" footer="0.3"/>
  <pageSetup orientation="portrait" scale="40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1:G63"/>
  <sheetViews>
    <sheetView showGridLines="0" topLeftCell="A24" zoomScaleNormal="100" workbookViewId="0">
      <selection activeCell="B63" sqref="B63:G63"/>
    </sheetView>
  </sheetViews>
  <sheetFormatPr baseColWidth="10" defaultColWidth="8.7109375" defaultRowHeight="15"/>
  <cols>
    <col width="3" customWidth="1" min="1" max="1"/>
    <col width="46" customWidth="1" min="2" max="2"/>
    <col width="22" customWidth="1" min="3" max="3"/>
    <col width="12" customWidth="1" min="4" max="4"/>
    <col width="16" customWidth="1" min="5" max="5"/>
    <col width="18" customWidth="1" min="6" max="6"/>
    <col width="52" customWidth="1" min="7" max="7"/>
  </cols>
  <sheetData>
    <row r="1" ht="18.75" customHeight="1">
      <c r="B1" s="31" t="inlineStr">
        <is>
          <t>PRESUPUESTO ESTIMADO – ESCENARIO MEDIO – PLAN DE COSTOS</t>
        </is>
      </c>
    </row>
    <row r="2">
      <c r="B2" s="32" t="inlineStr">
        <is>
          <t>CuTuCo (Cultiva Tu Compra) – Marketplace SaaS B2B2C | Duoc UC Plaza Norte – Ingeniería en Informática</t>
        </is>
      </c>
    </row>
    <row r="3">
      <c r="B3" s="33" t="inlineStr">
        <is>
          <t>Duración: 13 semanas (11/09/2026 – 10/12/2026) | Equipo: Vicente Rivera e Ignacio Fuenzalida | Moneda: pesos chilenos (CLP)</t>
        </is>
      </c>
    </row>
    <row r="4" ht="30" customHeight="1">
      <c r="B4" s="34" t="inlineStr">
        <is>
          <t>Opción A reforzada: planes pagados en Supabase, Vercel y Cloud Run (sin depender de créditos), más horas de QA y asesoría legal básica.</t>
        </is>
      </c>
    </row>
    <row r="5" ht="15" customHeight="1">
      <c r="B5" s="26" t="inlineStr">
        <is>
          <t>SUPUESTOS (celdas azules con fondo amarillo = editables)</t>
        </is>
      </c>
      <c r="C5" s="35" t="n"/>
      <c r="D5" s="35" t="n"/>
      <c r="E5" s="35" t="n"/>
      <c r="F5" s="35" t="n"/>
      <c r="G5" s="36" t="n"/>
    </row>
    <row r="6" ht="19.5" customHeight="1">
      <c r="B6" s="24" t="inlineStr">
        <is>
          <t>Tipo de cambio (CLP por USD)</t>
        </is>
      </c>
      <c r="C6" s="4" t="n">
        <v>950</v>
      </c>
      <c r="D6" s="30" t="inlineStr">
        <is>
          <t>Supuesto del equipo; ajustar al valor del día de pago.</t>
        </is>
      </c>
      <c r="E6" s="35" t="n"/>
      <c r="F6" s="35" t="n"/>
      <c r="G6" s="36" t="n"/>
    </row>
    <row r="7" ht="19.5" customHeight="1">
      <c r="B7" s="24" t="inlineStr">
        <is>
          <t>Duración del proyecto (meses)</t>
        </is>
      </c>
      <c r="C7" s="5" t="n">
        <v>3</v>
      </c>
      <c r="D7" s="30" t="inlineStr">
        <is>
          <t>13 semanas ≈ 3 meses.</t>
        </is>
      </c>
      <c r="E7" s="35" t="n"/>
      <c r="F7" s="35" t="n"/>
      <c r="G7" s="36" t="n"/>
    </row>
    <row r="8" ht="19.5" customHeight="1">
      <c r="B8" s="24" t="inlineStr">
        <is>
          <t>Semanas de trabajo</t>
        </is>
      </c>
      <c r="C8" s="5" t="n">
        <v>13</v>
      </c>
      <c r="D8" s="30" t="inlineStr">
        <is>
          <t>Acta de Constitución: semanas 1 a 13.</t>
        </is>
      </c>
      <c r="E8" s="35" t="n"/>
      <c r="F8" s="35" t="n"/>
      <c r="G8" s="36" t="n"/>
    </row>
    <row r="9" ht="19.5" customHeight="1">
      <c r="B9" s="24" t="inlineStr">
        <is>
          <t>Horas por semana por integrante</t>
        </is>
      </c>
      <c r="C9" s="5" t="n">
        <v>24</v>
      </c>
      <c r="D9" s="30" t="inlineStr">
        <is>
          <t>Dedicación estimada compatible con la carga académica.</t>
        </is>
      </c>
      <c r="E9" s="35" t="n"/>
      <c r="F9" s="35" t="n"/>
      <c r="G9" s="36" t="n"/>
    </row>
    <row r="10" ht="19.5" customHeight="1">
      <c r="B10" s="24" t="inlineStr">
        <is>
          <t>Contingencia sobre el subtotal</t>
        </is>
      </c>
      <c r="C10" s="6" t="n">
        <v>0.15</v>
      </c>
      <c r="D10" s="30" t="inlineStr">
        <is>
          <t>Mayor reserva por servicios pagados y más horas de pruebas.</t>
        </is>
      </c>
      <c r="E10" s="35" t="n"/>
      <c r="F10" s="35" t="n"/>
      <c r="G10" s="36" t="n"/>
    </row>
    <row r="11" ht="19.5" customHeight="1">
      <c r="B11" s="24" t="inlineStr">
        <is>
          <t>Valor de un notebook propio (CLP)</t>
        </is>
      </c>
      <c r="C11" s="4" t="n">
        <v>800000</v>
      </c>
      <c r="D11" s="30" t="inlineStr">
        <is>
          <t>Estimación de mercado Chile.</t>
        </is>
      </c>
      <c r="E11" s="35" t="n"/>
      <c r="F11" s="35" t="n"/>
      <c r="G11" s="36" t="n"/>
    </row>
    <row r="12" ht="19.5" customHeight="1">
      <c r="B12" s="24" t="inlineStr">
        <is>
          <t>Vida útil del notebook (meses)</t>
        </is>
      </c>
      <c r="C12" s="5" t="n">
        <v>36</v>
      </c>
      <c r="D12" s="30" t="inlineStr">
        <is>
          <t>Depreciación lineal.</t>
        </is>
      </c>
      <c r="E12" s="35" t="n"/>
      <c r="F12" s="35" t="n"/>
      <c r="G12" s="36" t="n"/>
    </row>
    <row r="13">
      <c r="B13" s="7" t="n"/>
      <c r="C13" s="7" t="n"/>
      <c r="D13" s="7" t="n"/>
      <c r="E13" s="7" t="n"/>
      <c r="F13" s="7" t="n"/>
      <c r="G13" s="7" t="n"/>
    </row>
    <row r="14" ht="15" customHeight="1">
      <c r="B14" s="26" t="inlineStr">
        <is>
          <t>1. RECURSO HUMANO (valorizado a precio de mercado; no es desembolso)</t>
        </is>
      </c>
      <c r="C14" s="35" t="n"/>
      <c r="D14" s="35" t="n"/>
      <c r="E14" s="35" t="n"/>
      <c r="F14" s="35" t="n"/>
      <c r="G14" s="36" t="n"/>
    </row>
    <row r="15" ht="30" customHeight="1">
      <c r="B15" s="26" t="inlineStr">
        <is>
          <t>Rol</t>
        </is>
      </c>
      <c r="C15" s="26" t="inlineStr">
        <is>
          <t>Responsable</t>
        </is>
      </c>
      <c r="D15" s="26" t="inlineStr">
        <is>
          <t>Horas</t>
        </is>
      </c>
      <c r="E15" s="26" t="inlineStr">
        <is>
          <t>Valor hora (CLP)</t>
        </is>
      </c>
      <c r="F15" s="26" t="inlineStr">
        <is>
          <t>Costo (CLP)</t>
        </is>
      </c>
      <c r="G15" s="26" t="inlineStr">
        <is>
          <t>Observación</t>
        </is>
      </c>
    </row>
    <row r="16" ht="30" customHeight="1">
      <c r="B16" s="24" t="inlineStr">
        <is>
          <t>Jefe de Proyecto (JP)</t>
        </is>
      </c>
      <c r="C16" s="24" t="inlineStr">
        <is>
          <t>Vicente Rivera</t>
        </is>
      </c>
      <c r="D16" s="8" t="n">
        <v>55</v>
      </c>
      <c r="E16" s="9" t="n">
        <v>13388</v>
      </c>
      <c r="F16" s="10">
        <f>D16*E16</f>
        <v/>
      </c>
      <c r="G16" s="24" t="inlineStr">
        <is>
          <t>Costo empresa $2.142.000 / 160 h. Gestión, control y coordinación.</t>
        </is>
      </c>
    </row>
    <row r="17" ht="30" customHeight="1">
      <c r="B17" s="24" t="inlineStr">
        <is>
          <t>Arquitecto de Software (ASW)</t>
        </is>
      </c>
      <c r="C17" s="24" t="inlineStr">
        <is>
          <t>Vicente Rivera</t>
        </is>
      </c>
      <c r="D17" s="8" t="n">
        <v>55</v>
      </c>
      <c r="E17" s="9" t="n">
        <v>11156</v>
      </c>
      <c r="F17" s="10">
        <f>D17*E17</f>
        <v/>
      </c>
      <c r="G17" s="24" t="inlineStr">
        <is>
          <t>Costo empresa $1.785.000 / 160 h. Arquitectura y despliegue.</t>
        </is>
      </c>
    </row>
    <row r="18" ht="30" customHeight="1">
      <c r="B18" s="24" t="inlineStr">
        <is>
          <t>Administrador de BBDD (DBA)</t>
        </is>
      </c>
      <c r="C18" s="24" t="inlineStr">
        <is>
          <t>Vicente Rivera</t>
        </is>
      </c>
      <c r="D18" s="8" t="n">
        <v>55</v>
      </c>
      <c r="E18" s="9" t="n">
        <v>10041</v>
      </c>
      <c r="F18" s="10">
        <f>D18*E18</f>
        <v/>
      </c>
      <c r="G18" s="24" t="inlineStr">
        <is>
          <t>Costo empresa $1.606.500 / 160 h. PostgreSQL, RLS y scripts.</t>
        </is>
      </c>
    </row>
    <row r="19" ht="30" customHeight="1">
      <c r="B19" s="24" t="inlineStr">
        <is>
          <t>Programador Full Stack 1 – Backend (PFS 1)</t>
        </is>
      </c>
      <c r="C19" s="24" t="inlineStr">
        <is>
          <t>Vicente Rivera</t>
        </is>
      </c>
      <c r="D19" s="8" t="n">
        <v>135</v>
      </c>
      <c r="E19" s="9" t="n">
        <v>7438</v>
      </c>
      <c r="F19" s="10">
        <f>D19*E19</f>
        <v/>
      </c>
      <c r="G19" s="24" t="inlineStr">
        <is>
          <t>Costo empresa $1.190.000 / 160 h. FastAPI, pagos y correos.</t>
        </is>
      </c>
    </row>
    <row r="20" ht="30" customHeight="1">
      <c r="B20" s="24" t="inlineStr">
        <is>
          <t>Analista de Procesos (AP)</t>
        </is>
      </c>
      <c r="C20" s="24" t="inlineStr">
        <is>
          <t>Ignacio Fuenzalida</t>
        </is>
      </c>
      <c r="D20" s="8" t="n">
        <v>70</v>
      </c>
      <c r="E20" s="9" t="n">
        <v>5950</v>
      </c>
      <c r="F20" s="10">
        <f>D20*E20</f>
        <v/>
      </c>
      <c r="G20" s="24" t="inlineStr">
        <is>
          <t>Costo empresa $952.000 / 160 h. ERS, mockups y pruebas.</t>
        </is>
      </c>
    </row>
    <row r="21" ht="30" customHeight="1">
      <c r="B21" s="24" t="inlineStr">
        <is>
          <t>Programador Full Stack 2 – Frontend (PFS 2)</t>
        </is>
      </c>
      <c r="C21" s="24" t="inlineStr">
        <is>
          <t>Ignacio Fuenzalida</t>
        </is>
      </c>
      <c r="D21" s="8" t="n">
        <v>230</v>
      </c>
      <c r="E21" s="9" t="n">
        <v>9669</v>
      </c>
      <c r="F21" s="10">
        <f>D21*E21</f>
        <v/>
      </c>
      <c r="G21" s="24" t="inlineStr">
        <is>
          <t>Costo empresa $1.547.000 / 160 h. Vue.js + Vite.</t>
        </is>
      </c>
    </row>
    <row r="22" ht="30" customHeight="1">
      <c r="B22" s="29" t="inlineStr">
        <is>
          <t>Subtotal recurso humano</t>
        </is>
      </c>
      <c r="C22" s="36" t="n"/>
      <c r="D22" s="11">
        <f>SUM(D16:D21)</f>
        <v/>
      </c>
      <c r="E22" s="12" t="n"/>
      <c r="F22" s="13">
        <f>SUM(F16:F21)</f>
        <v/>
      </c>
      <c r="G22" s="14" t="inlineStr">
        <is>
          <t>Valor hora tomado de la tabla de roles del Acta (talent.com).</t>
        </is>
      </c>
    </row>
    <row r="23" ht="30" customHeight="1">
      <c r="B23" s="30" t="inlineStr">
        <is>
          <t>Control de horas: Vicente Rivera</t>
        </is>
      </c>
      <c r="C23" s="30" t="inlineStr">
        <is>
          <t>Asignadas / disponibles</t>
        </is>
      </c>
      <c r="D23" s="15">
        <f>SUMIF($C$16:$C$21,"Vicente Rivera",$D$16:$D$21)</f>
        <v/>
      </c>
      <c r="E23" s="15">
        <f>$C$8*$C$9</f>
        <v/>
      </c>
      <c r="F23" s="16">
        <f>IF(D23&lt;=E23,"OK","Excede")</f>
        <v/>
      </c>
      <c r="G23" s="30" t="inlineStr">
        <is>
          <t>Las horas asignadas no deben superar las disponibles.</t>
        </is>
      </c>
    </row>
    <row r="24" ht="30" customHeight="1">
      <c r="B24" s="30" t="inlineStr">
        <is>
          <t>Control de horas: Ignacio Fuenzalida</t>
        </is>
      </c>
      <c r="C24" s="30" t="inlineStr">
        <is>
          <t>Asignadas / disponibles</t>
        </is>
      </c>
      <c r="D24" s="15">
        <f>SUMIF($C$16:$C$21,"Ignacio Fuenzalida",$D$16:$D$21)</f>
        <v/>
      </c>
      <c r="E24" s="15">
        <f>$C$8*$C$9</f>
        <v/>
      </c>
      <c r="F24" s="16">
        <f>IF(D24&lt;=E24,"OK","Excede")</f>
        <v/>
      </c>
      <c r="G24" s="30" t="inlineStr">
        <is>
          <t>Las horas asignadas no deben superar las disponibles.</t>
        </is>
      </c>
    </row>
    <row r="25" ht="30" customHeight="1">
      <c r="B25" s="7" t="n"/>
      <c r="C25" s="7" t="n"/>
      <c r="D25" s="7" t="n"/>
      <c r="E25" s="7" t="n"/>
      <c r="F25" s="7" t="n"/>
      <c r="G25" s="7" t="n"/>
    </row>
    <row r="26" ht="30" customHeight="1">
      <c r="B26" s="26" t="inlineStr">
        <is>
          <t>2. INFRAESTRUCTURA Y SERVICIOS – OPCIÓN A CON PLANES PAGADOS</t>
        </is>
      </c>
      <c r="C26" s="35" t="n"/>
      <c r="D26" s="35" t="n"/>
      <c r="E26" s="35" t="n"/>
      <c r="F26" s="35" t="n"/>
      <c r="G26" s="36" t="n"/>
    </row>
    <row r="27" ht="30" customHeight="1">
      <c r="B27" s="26" t="inlineStr">
        <is>
          <t>Servicio</t>
        </is>
      </c>
      <c r="C27" s="26" t="inlineStr">
        <is>
          <t>Uso en CuTuCo</t>
        </is>
      </c>
      <c r="D27" s="26" t="inlineStr">
        <is>
          <t>Cantidad</t>
        </is>
      </c>
      <c r="E27" s="26" t="inlineStr">
        <is>
          <t>Valor unit. (USD)</t>
        </is>
      </c>
      <c r="F27" s="26" t="inlineStr">
        <is>
          <t>Costo (CLP)</t>
        </is>
      </c>
      <c r="G27" s="26" t="inlineStr">
        <is>
          <t>Observación</t>
        </is>
      </c>
    </row>
    <row r="28" ht="30" customHeight="1">
      <c r="B28" s="24" t="inlineStr">
        <is>
          <t>Dominio web (.cl / .com)</t>
        </is>
      </c>
      <c r="C28" s="24" t="inlineStr">
        <is>
          <t>Acceso público</t>
        </is>
      </c>
      <c r="D28" s="17" t="n">
        <v>1</v>
      </c>
      <c r="E28" s="18" t="n">
        <v>15</v>
      </c>
      <c r="F28" s="10">
        <f>D28*E28*$C$6</f>
        <v/>
      </c>
      <c r="G28" s="24" t="inlineStr">
        <is>
          <t>Cantidad en años. Estimación de mercado.</t>
        </is>
      </c>
    </row>
    <row r="29" ht="30" customHeight="1">
      <c r="B29" s="24" t="inlineStr">
        <is>
          <t>Vercel Pro</t>
        </is>
      </c>
      <c r="C29" s="24" t="inlineStr">
        <is>
          <t>Frontend Vue.js + Vite</t>
        </is>
      </c>
      <c r="D29" s="17" t="n">
        <v>3</v>
      </c>
      <c r="E29" s="18" t="n">
        <v>20</v>
      </c>
      <c r="F29" s="10">
        <f>D29*E29*$C$6</f>
        <v/>
      </c>
      <c r="G29" s="24" t="inlineStr">
        <is>
          <t>Cantidad en meses. USD 20 por usuario al mes (1 usuario).</t>
        </is>
      </c>
    </row>
    <row r="30" ht="30" customHeight="1">
      <c r="B30" s="24" t="inlineStr">
        <is>
          <t>Supabase Pro</t>
        </is>
      </c>
      <c r="C30" s="24" t="inlineStr">
        <is>
          <t>PostgreSQL, Auth, PostgREST, Storage</t>
        </is>
      </c>
      <c r="D30" s="17" t="n">
        <v>3</v>
      </c>
      <c r="E30" s="18" t="n">
        <v>25</v>
      </c>
      <c r="F30" s="10">
        <f>D30*E30*$C$6</f>
        <v/>
      </c>
      <c r="G30" s="24" t="inlineStr">
        <is>
          <t>Cantidad en meses. Incluye respaldos diarios.</t>
        </is>
      </c>
    </row>
    <row r="31" ht="30" customHeight="1">
      <c r="B31" s="24" t="inlineStr">
        <is>
          <t>GCP Cloud Run + Secret Manager</t>
        </is>
      </c>
      <c r="C31" s="24" t="inlineStr">
        <is>
          <t>FastAPI + Docker (us-central1)</t>
        </is>
      </c>
      <c r="D31" s="17" t="n">
        <v>3</v>
      </c>
      <c r="E31" s="18" t="n">
        <v>15</v>
      </c>
      <c r="F31" s="10">
        <f>D31*E31*$C$6</f>
        <v/>
      </c>
      <c r="G31" s="24" t="inlineStr">
        <is>
          <t>Cantidad en meses. Consumo estimado sin créditos GCP.</t>
        </is>
      </c>
    </row>
    <row r="32" ht="30" customHeight="1">
      <c r="B32" s="24" t="inlineStr">
        <is>
          <t>Resend</t>
        </is>
      </c>
      <c r="C32" s="24" t="inlineStr">
        <is>
          <t>Correos de Auth (SMTP) y de negocio (API)</t>
        </is>
      </c>
      <c r="D32" s="17" t="n">
        <v>3</v>
      </c>
      <c r="E32" s="18" t="n">
        <v>0</v>
      </c>
      <c r="F32" s="10">
        <f>D32*E32*$C$6</f>
        <v/>
      </c>
      <c r="G32" s="24" t="inlineStr">
        <is>
          <t>Cantidad en meses. Nivel gratuito (hasta 3.000 correos/mes).</t>
        </is>
      </c>
    </row>
    <row r="33" ht="30" customHeight="1">
      <c r="B33" s="24" t="inlineStr">
        <is>
          <t>Transbank Webpay Mall Test</t>
        </is>
      </c>
      <c r="C33" s="24" t="inlineStr">
        <is>
          <t>Pagos en ambiente de integración</t>
        </is>
      </c>
      <c r="D33" s="17" t="n">
        <v>3</v>
      </c>
      <c r="E33" s="18" t="n">
        <v>0</v>
      </c>
      <c r="F33" s="10">
        <f>D33*E33*$C$6</f>
        <v/>
      </c>
      <c r="G33" s="24" t="inlineStr">
        <is>
          <t>Ambiente de pruebas sin costo.</t>
        </is>
      </c>
    </row>
    <row r="34" ht="30" customHeight="1">
      <c r="B34" s="24" t="inlineStr">
        <is>
          <t>GitHub + GitHub Actions</t>
        </is>
      </c>
      <c r="C34" s="24" t="inlineStr">
        <is>
          <t>Repositorio y CI/CD</t>
        </is>
      </c>
      <c r="D34" s="17" t="n">
        <v>3</v>
      </c>
      <c r="E34" s="18" t="n">
        <v>0</v>
      </c>
      <c r="F34" s="10">
        <f>D34*E34*$C$6</f>
        <v/>
      </c>
      <c r="G34" s="24" t="inlineStr">
        <is>
          <t>Cantidad en meses. Plan gratuito.</t>
        </is>
      </c>
    </row>
    <row r="35" ht="30" customHeight="1">
      <c r="B35" s="29" t="inlineStr">
        <is>
          <t>Subtotal infraestructura (desembolso)</t>
        </is>
      </c>
      <c r="C35" s="35" t="n"/>
      <c r="D35" s="35" t="n"/>
      <c r="E35" s="36" t="n"/>
      <c r="F35" s="13">
        <f>SUM(F28:F34)</f>
        <v/>
      </c>
      <c r="G35" s="14" t="inlineStr">
        <is>
          <t>Costo mensual aproximado de USD 60 más el dominio.</t>
        </is>
      </c>
    </row>
    <row r="36" ht="30" customHeight="1">
      <c r="B36" s="7" t="n"/>
      <c r="C36" s="7" t="n"/>
      <c r="D36" s="7" t="n"/>
      <c r="E36" s="7" t="n"/>
      <c r="F36" s="7" t="n"/>
      <c r="G36" s="7" t="n"/>
    </row>
    <row r="37" ht="30" customHeight="1">
      <c r="B37" s="26" t="inlineStr">
        <is>
          <t>3. OTROS COSTOS DEL PROYECTO</t>
        </is>
      </c>
      <c r="C37" s="35" t="n"/>
      <c r="D37" s="35" t="n"/>
      <c r="E37" s="35" t="n"/>
      <c r="F37" s="35" t="n"/>
      <c r="G37" s="36" t="n"/>
    </row>
    <row r="38" ht="30" customHeight="1">
      <c r="B38" s="26" t="inlineStr">
        <is>
          <t>Concepto</t>
        </is>
      </c>
      <c r="C38" s="26" t="inlineStr">
        <is>
          <t>Detalle</t>
        </is>
      </c>
      <c r="D38" s="26" t="inlineStr">
        <is>
          <t>Cantidad</t>
        </is>
      </c>
      <c r="E38" s="26" t="inlineStr">
        <is>
          <t>Valor unit. (CLP)</t>
        </is>
      </c>
      <c r="F38" s="26" t="inlineStr">
        <is>
          <t>Costo (CLP)</t>
        </is>
      </c>
      <c r="G38" s="26" t="inlineStr">
        <is>
          <t>Observación</t>
        </is>
      </c>
    </row>
    <row r="39" ht="30" customHeight="1">
      <c r="B39" s="24" t="inlineStr">
        <is>
          <t>Internet y electricidad (trabajo remoto)</t>
        </is>
      </c>
      <c r="C39" s="24" t="inlineStr">
        <is>
          <t>Persona-mes</t>
        </is>
      </c>
      <c r="D39" s="19">
        <f>2*$C$7</f>
        <v/>
      </c>
      <c r="E39" s="9" t="n">
        <v>30000</v>
      </c>
      <c r="F39" s="10">
        <f>D39*E39</f>
        <v/>
      </c>
      <c r="G39" s="24" t="inlineStr">
        <is>
          <t>Supuesto: $30.000 mensuales por integrante.</t>
        </is>
      </c>
    </row>
    <row r="40" ht="30" customHeight="1">
      <c r="B40" s="24" t="inlineStr">
        <is>
          <t>Depreciación de notebooks propios</t>
        </is>
      </c>
      <c r="C40" s="24" t="inlineStr">
        <is>
          <t>Equipo-mes</t>
        </is>
      </c>
      <c r="D40" s="19">
        <f>2*$C$7</f>
        <v/>
      </c>
      <c r="E40" s="10">
        <f>ROUND($C$11/$C$12,0)</f>
        <v/>
      </c>
      <c r="F40" s="10">
        <f>D40*E40</f>
        <v/>
      </c>
      <c r="G40" s="24" t="inlineStr">
        <is>
          <t>Valor del equipo / vida útil. No se compran equipos nuevos.</t>
        </is>
      </c>
    </row>
    <row r="41" ht="30" customHeight="1">
      <c r="B41" s="24" t="inlineStr">
        <is>
          <t>Impresión y material de la presentación final</t>
        </is>
      </c>
      <c r="C41" s="24" t="inlineStr">
        <is>
          <t>Global</t>
        </is>
      </c>
      <c r="D41" s="17" t="n">
        <v>1</v>
      </c>
      <c r="E41" s="9" t="n">
        <v>40000</v>
      </c>
      <c r="F41" s="10">
        <f>D41*E41</f>
        <v/>
      </c>
      <c r="G41" s="24" t="inlineStr">
        <is>
          <t>Supuesto del equipo.</t>
        </is>
      </c>
    </row>
    <row r="42" ht="30" customHeight="1">
      <c r="B42" s="24" t="inlineStr">
        <is>
          <t>Herramientas de desarrollo y diseño</t>
        </is>
      </c>
      <c r="C42" s="24" t="inlineStr">
        <is>
          <t>Figma Professional (2 licencias)</t>
        </is>
      </c>
      <c r="D42" s="17" t="n">
        <v>6</v>
      </c>
      <c r="E42" s="9" t="n">
        <v>14250</v>
      </c>
      <c r="F42" s="10">
        <f>D42*E42</f>
        <v/>
      </c>
      <c r="G42" s="24" t="inlineStr">
        <is>
          <t>Cantidad en licencias-mes. USD 15 por licencia (a $950).</t>
        </is>
      </c>
    </row>
    <row r="43" ht="30" customHeight="1">
      <c r="B43" s="24" t="inlineStr">
        <is>
          <t>Asesoría legal básica</t>
        </is>
      </c>
      <c r="C43" s="24" t="inlineStr">
        <is>
          <t>Términos y condiciones, privacidad</t>
        </is>
      </c>
      <c r="D43" s="17" t="n">
        <v>1</v>
      </c>
      <c r="E43" s="9" t="n">
        <v>150000</v>
      </c>
      <c r="F43" s="10">
        <f>D43*E43</f>
        <v/>
      </c>
      <c r="G43" s="24" t="inlineStr">
        <is>
          <t>Revisión única; marketplace con datos personales y bancarios.</t>
        </is>
      </c>
    </row>
    <row r="44" ht="30" customHeight="1">
      <c r="B44" s="29" t="inlineStr">
        <is>
          <t>Subtotal otros costos (desembolso)</t>
        </is>
      </c>
      <c r="C44" s="35" t="n"/>
      <c r="D44" s="35" t="n"/>
      <c r="E44" s="36" t="n"/>
      <c r="F44" s="13">
        <f>SUM(F39:F43)</f>
        <v/>
      </c>
      <c r="G44" s="12" t="n"/>
    </row>
    <row r="45" ht="30" customHeight="1">
      <c r="B45" s="7" t="n"/>
      <c r="C45" s="7" t="n"/>
      <c r="D45" s="7" t="n"/>
      <c r="E45" s="7" t="n"/>
      <c r="F45" s="7" t="n"/>
      <c r="G45" s="7" t="n"/>
    </row>
    <row r="46" ht="30" customHeight="1">
      <c r="B46" s="26" t="inlineStr">
        <is>
          <t>4. RESUMEN DEL PRESUPUESTO ESTIMADO</t>
        </is>
      </c>
      <c r="C46" s="35" t="n"/>
      <c r="D46" s="35" t="n"/>
      <c r="E46" s="35" t="n"/>
      <c r="F46" s="35" t="n"/>
      <c r="G46" s="36" t="n"/>
    </row>
    <row r="47" ht="30" customHeight="1">
      <c r="B47" s="26" t="inlineStr">
        <is>
          <t>Concepto</t>
        </is>
      </c>
      <c r="C47" s="35" t="n"/>
      <c r="D47" s="35" t="n"/>
      <c r="E47" s="36" t="n"/>
      <c r="F47" s="26" t="inlineStr">
        <is>
          <t>Monto (CLP)</t>
        </is>
      </c>
      <c r="G47" s="26" t="inlineStr">
        <is>
          <t>Observación</t>
        </is>
      </c>
    </row>
    <row r="48" ht="30" customHeight="1">
      <c r="B48" s="24" t="inlineStr">
        <is>
          <t>Desembolso en efectivo (infraestructura + otros costos)</t>
        </is>
      </c>
      <c r="C48" s="35" t="n"/>
      <c r="D48" s="35" t="n"/>
      <c r="E48" s="36" t="n"/>
      <c r="F48" s="10">
        <f>F35+F44</f>
        <v/>
      </c>
      <c r="G48" s="30" t="inlineStr">
        <is>
          <t>Dinero que realmente se paga.</t>
        </is>
      </c>
    </row>
    <row r="49" ht="30" customHeight="1">
      <c r="B49" s="24" t="inlineStr">
        <is>
          <t>Recurso humano valorizado</t>
        </is>
      </c>
      <c r="C49" s="35" t="n"/>
      <c r="D49" s="35" t="n"/>
      <c r="E49" s="36" t="n"/>
      <c r="F49" s="10">
        <f>F22</f>
        <v/>
      </c>
      <c r="G49" s="30" t="inlineStr">
        <is>
          <t>Referencia de mercado; el equipo no recibe pago.</t>
        </is>
      </c>
    </row>
    <row r="50" ht="30" customHeight="1">
      <c r="B50" s="28" t="inlineStr">
        <is>
          <t>Subtotal del proyecto</t>
        </is>
      </c>
      <c r="C50" s="35" t="n"/>
      <c r="D50" s="35" t="n"/>
      <c r="E50" s="36" t="n"/>
      <c r="F50" s="20">
        <f>F48+F49</f>
        <v/>
      </c>
      <c r="G50" s="21" t="n"/>
    </row>
    <row r="51" ht="30" customHeight="1">
      <c r="B51" s="24" t="inlineStr">
        <is>
          <t>Contingencia</t>
        </is>
      </c>
      <c r="C51" s="35" t="n"/>
      <c r="D51" s="35" t="n"/>
      <c r="E51" s="36" t="n"/>
      <c r="F51" s="10">
        <f>F50*$C$10</f>
        <v/>
      </c>
      <c r="G51" s="30" t="inlineStr">
        <is>
          <t>Porcentaje definido en los supuestos.</t>
        </is>
      </c>
    </row>
    <row r="52" ht="30" customHeight="1">
      <c r="B52" s="29" t="inlineStr">
        <is>
          <t>TOTAL PRESUPUESTO ESTIMADO</t>
        </is>
      </c>
      <c r="C52" s="35" t="n"/>
      <c r="D52" s="35" t="n"/>
      <c r="E52" s="36" t="n"/>
      <c r="F52" s="13">
        <f>F50+F51</f>
        <v/>
      </c>
      <c r="G52" s="14" t="inlineStr">
        <is>
          <t>Valor total del proyecto.</t>
        </is>
      </c>
    </row>
    <row r="53" ht="30" customHeight="1">
      <c r="B53" s="24" t="inlineStr">
        <is>
          <t>Total presupuesto estimado en USD</t>
        </is>
      </c>
      <c r="C53" s="35" t="n"/>
      <c r="D53" s="35" t="n"/>
      <c r="E53" s="36" t="n"/>
      <c r="F53" s="22">
        <f>F52/$C$6</f>
        <v/>
      </c>
      <c r="G53" s="30" t="inlineStr">
        <is>
          <t>Según el tipo de cambio supuesto.</t>
        </is>
      </c>
    </row>
    <row r="54" ht="30" customHeight="1">
      <c r="B54" s="25" t="inlineStr">
        <is>
          <t>Desembolso en efectivo con contingencia</t>
        </is>
      </c>
      <c r="C54" s="35" t="n"/>
      <c r="D54" s="35" t="n"/>
      <c r="E54" s="36" t="n"/>
      <c r="F54" s="23">
        <f>F48*(1+$C$10)</f>
        <v/>
      </c>
      <c r="G54" s="30" t="inlineStr">
        <is>
          <t>Monto mínimo a tener disponible.</t>
        </is>
      </c>
    </row>
    <row r="55" ht="30" customHeight="1">
      <c r="B55" s="7" t="n"/>
      <c r="C55" s="7" t="n"/>
      <c r="D55" s="7" t="n"/>
      <c r="E55" s="7" t="n"/>
      <c r="F55" s="7" t="n"/>
      <c r="G55" s="7" t="n"/>
    </row>
    <row r="56" ht="30" customHeight="1">
      <c r="B56" s="26" t="inlineStr">
        <is>
          <t>5. PROYECCIÓN ANUAL DE CONTINUIDAD (OPCIÓN B) – REFERENCIAL, NO INCLUIDA EN EL TOTAL</t>
        </is>
      </c>
      <c r="C56" s="35" t="n"/>
      <c r="D56" s="35" t="n"/>
      <c r="E56" s="35" t="n"/>
      <c r="F56" s="35" t="n"/>
      <c r="G56" s="36" t="n"/>
    </row>
    <row r="57" ht="30" customHeight="1">
      <c r="B57" s="26" t="inlineStr">
        <is>
          <t>Escenario</t>
        </is>
      </c>
      <c r="C57" s="26" t="inlineStr">
        <is>
          <t>Detalle</t>
        </is>
      </c>
      <c r="D57" s="26" t="inlineStr">
        <is>
          <t>Meses</t>
        </is>
      </c>
      <c r="E57" s="26" t="inlineStr">
        <is>
          <t>Valor mensual (USD)</t>
        </is>
      </c>
      <c r="F57" s="26" t="inlineStr">
        <is>
          <t>Costo (CLP)</t>
        </is>
      </c>
      <c r="G57" s="26" t="inlineStr">
        <is>
          <t>Observación</t>
        </is>
      </c>
    </row>
    <row r="58" ht="30" customHeight="1">
      <c r="B58" s="24" t="inlineStr">
        <is>
          <t>Mínimo mensual</t>
        </is>
      </c>
      <c r="C58" s="24" t="inlineStr">
        <is>
          <t>Infraestructura productiva</t>
        </is>
      </c>
      <c r="D58" s="17" t="n">
        <v>1</v>
      </c>
      <c r="E58" s="18" t="n">
        <v>100</v>
      </c>
      <c r="F58" s="10">
        <f>D58*E58*$C$6</f>
        <v/>
      </c>
      <c r="G58" s="24" t="inlineStr">
        <is>
          <t>Rango del informe: USD 100 a 120 al mes.</t>
        </is>
      </c>
    </row>
    <row r="59" ht="30" customHeight="1">
      <c r="B59" s="24" t="inlineStr">
        <is>
          <t>Máximo mensual</t>
        </is>
      </c>
      <c r="C59" s="24" t="inlineStr">
        <is>
          <t>Infraestructura productiva</t>
        </is>
      </c>
      <c r="D59" s="17" t="n">
        <v>1</v>
      </c>
      <c r="E59" s="18" t="n">
        <v>120</v>
      </c>
      <c r="F59" s="10">
        <f>D59*E59*$C$6</f>
        <v/>
      </c>
      <c r="G59" s="24" t="inlineStr">
        <is>
          <t>Rango del informe: USD 100 a 120 al mes.</t>
        </is>
      </c>
    </row>
    <row r="60" ht="30" customHeight="1">
      <c r="B60" s="24" t="inlineStr">
        <is>
          <t>Mínimo anual</t>
        </is>
      </c>
      <c r="C60" s="24" t="inlineStr">
        <is>
          <t>Primer año en producción</t>
        </is>
      </c>
      <c r="D60" s="17" t="n">
        <v>12</v>
      </c>
      <c r="E60" s="18" t="n">
        <v>100</v>
      </c>
      <c r="F60" s="10">
        <f>D60*E60*$C$6</f>
        <v/>
      </c>
      <c r="G60" s="24" t="inlineStr">
        <is>
          <t>Proyección de continuidad.</t>
        </is>
      </c>
    </row>
    <row r="61" ht="30" customHeight="1">
      <c r="B61" s="24" t="inlineStr">
        <is>
          <t>Máximo anual</t>
        </is>
      </c>
      <c r="C61" s="24" t="inlineStr">
        <is>
          <t>Primer año en producción</t>
        </is>
      </c>
      <c r="D61" s="17" t="n">
        <v>12</v>
      </c>
      <c r="E61" s="18" t="n">
        <v>120</v>
      </c>
      <c r="F61" s="10">
        <f>D61*E61*$C$6</f>
        <v/>
      </c>
      <c r="G61" s="24" t="inlineStr">
        <is>
          <t>Más comisiones Webpay por transacción (variables, no incluidas).</t>
        </is>
      </c>
    </row>
    <row r="62" ht="30" customHeight="1">
      <c r="B62" s="7" t="n"/>
      <c r="C62" s="7" t="n"/>
      <c r="D62" s="7" t="n"/>
      <c r="E62" s="7" t="n"/>
      <c r="F62" s="7" t="n"/>
      <c r="G62" s="7" t="n"/>
    </row>
    <row r="63" ht="30" customHeight="1">
      <c r="B63" s="27" t="n"/>
    </row>
  </sheetData>
  <mergeCells count="29">
    <mergeCell ref="B2:G2"/>
    <mergeCell ref="D9:G9"/>
    <mergeCell ref="B49:E49"/>
    <mergeCell ref="D12:G12"/>
    <mergeCell ref="B14:G14"/>
    <mergeCell ref="D8:G8"/>
    <mergeCell ref="B1:G1"/>
    <mergeCell ref="B22:C22"/>
    <mergeCell ref="B51:E51"/>
    <mergeCell ref="B35:E35"/>
    <mergeCell ref="B50:E50"/>
    <mergeCell ref="B37:G37"/>
    <mergeCell ref="B54:E54"/>
    <mergeCell ref="B47:E47"/>
    <mergeCell ref="D10:G10"/>
    <mergeCell ref="B5:G5"/>
    <mergeCell ref="D6:G6"/>
    <mergeCell ref="B63:G63"/>
    <mergeCell ref="B52:E52"/>
    <mergeCell ref="B48:E48"/>
    <mergeCell ref="B4:G4"/>
    <mergeCell ref="B26:G26"/>
    <mergeCell ref="D11:G11"/>
    <mergeCell ref="B3:G3"/>
    <mergeCell ref="B46:G46"/>
    <mergeCell ref="B53:E53"/>
    <mergeCell ref="B44:E44"/>
    <mergeCell ref="D7:G7"/>
    <mergeCell ref="B56:G56"/>
  </mergeCells>
  <pageMargins left="0.75" right="0.75" top="1" bottom="1" header="0.511811023622047" footer="0.511811023622047"/>
  <pageSetup orientation="portrait" scale="3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1:G62"/>
  <sheetViews>
    <sheetView showGridLines="0" topLeftCell="A10" zoomScaleNormal="100" workbookViewId="0">
      <selection activeCell="B68" sqref="B68"/>
    </sheetView>
  </sheetViews>
  <sheetFormatPr baseColWidth="10" defaultColWidth="8.7109375" defaultRowHeight="15"/>
  <cols>
    <col width="3" customWidth="1" min="1" max="1"/>
    <col width="46" customWidth="1" min="2" max="2"/>
    <col width="22" customWidth="1" min="3" max="3"/>
    <col width="12" customWidth="1" min="4" max="4"/>
    <col width="16" customWidth="1" min="5" max="5"/>
    <col width="18" customWidth="1" min="6" max="6"/>
    <col width="52" customWidth="1" min="7" max="7"/>
  </cols>
  <sheetData>
    <row r="1" ht="18.75" customHeight="1">
      <c r="B1" s="31" t="inlineStr">
        <is>
          <t>PRESUPUESTO ESTIMADO – ESCENARIO BAJO – PLAN DE COSTOS</t>
        </is>
      </c>
    </row>
    <row r="2">
      <c r="B2" s="32" t="inlineStr">
        <is>
          <t>CuTuCo (Cultiva Tu Compra) – Marketplace SaaS B2B2C | Duoc UC Plaza Norte – Ingeniería en Informática</t>
        </is>
      </c>
    </row>
    <row r="3">
      <c r="B3" s="33" t="inlineStr">
        <is>
          <t>Duración: 13 semanas (11/09/2026 – 10/12/2026) | Equipo: Vicente Rivera e Ignacio Fuenzalida | Moneda: pesos chilenos (CLP)</t>
        </is>
      </c>
    </row>
    <row r="4" ht="30" customHeight="1">
      <c r="B4" s="34" t="inlineStr">
        <is>
          <t>Opción A: MVP académico con niveles gratuitos y créditos GCP. Equipo de dos personas, alcance de 21 requerimientos, sin gasto productivo.</t>
        </is>
      </c>
    </row>
    <row r="5" ht="15" customHeight="1">
      <c r="B5" s="26" t="inlineStr">
        <is>
          <t>SUPUESTOS (celdas azules con fondo amarillo = editables)</t>
        </is>
      </c>
      <c r="C5" s="35" t="n"/>
      <c r="D5" s="35" t="n"/>
      <c r="E5" s="35" t="n"/>
      <c r="F5" s="35" t="n"/>
      <c r="G5" s="36" t="n"/>
    </row>
    <row r="6" ht="19.5" customHeight="1">
      <c r="B6" s="24" t="inlineStr">
        <is>
          <t>Tipo de cambio (CLP por USD)</t>
        </is>
      </c>
      <c r="C6" s="4" t="n">
        <v>950</v>
      </c>
      <c r="D6" s="30" t="inlineStr">
        <is>
          <t>Supuesto del equipo; ajustar al valor del día de pago.</t>
        </is>
      </c>
      <c r="E6" s="35" t="n"/>
      <c r="F6" s="35" t="n"/>
      <c r="G6" s="36" t="n"/>
    </row>
    <row r="7" ht="19.5" customHeight="1">
      <c r="B7" s="24" t="inlineStr">
        <is>
          <t>Duración del proyecto (meses)</t>
        </is>
      </c>
      <c r="C7" s="5" t="n">
        <v>3</v>
      </c>
      <c r="D7" s="30" t="inlineStr">
        <is>
          <t>13 semanas ≈ 3 meses.</t>
        </is>
      </c>
      <c r="E7" s="35" t="n"/>
      <c r="F7" s="35" t="n"/>
      <c r="G7" s="36" t="n"/>
    </row>
    <row r="8" ht="19.5" customHeight="1">
      <c r="B8" s="24" t="inlineStr">
        <is>
          <t>Semanas de trabajo</t>
        </is>
      </c>
      <c r="C8" s="5" t="n">
        <v>13</v>
      </c>
      <c r="D8" s="30" t="inlineStr">
        <is>
          <t>Acta de Constitución: semanas 1 a 13.</t>
        </is>
      </c>
      <c r="E8" s="35" t="n"/>
      <c r="F8" s="35" t="n"/>
      <c r="G8" s="36" t="n"/>
    </row>
    <row r="9" ht="19.5" customHeight="1">
      <c r="B9" s="24" t="inlineStr">
        <is>
          <t>Horas por semana por integrante</t>
        </is>
      </c>
      <c r="C9" s="5" t="n">
        <v>20</v>
      </c>
      <c r="D9" s="30" t="inlineStr">
        <is>
          <t>Dedicación estimada compatible con la carga académica.</t>
        </is>
      </c>
      <c r="E9" s="35" t="n"/>
      <c r="F9" s="35" t="n"/>
      <c r="G9" s="36" t="n"/>
    </row>
    <row r="10" ht="19.5" customHeight="1">
      <c r="B10" s="24" t="inlineStr">
        <is>
          <t>Contingencia sobre el subtotal</t>
        </is>
      </c>
      <c r="C10" s="6" t="n">
        <v>0.1</v>
      </c>
      <c r="D10" s="30" t="inlineStr">
        <is>
          <t>Reserva básica; la infraestructura es casi gratuita.</t>
        </is>
      </c>
      <c r="E10" s="35" t="n"/>
      <c r="F10" s="35" t="n"/>
      <c r="G10" s="36" t="n"/>
    </row>
    <row r="11" ht="19.5" customHeight="1">
      <c r="B11" s="24" t="inlineStr">
        <is>
          <t>Valor de un notebook propio (CLP)</t>
        </is>
      </c>
      <c r="C11" s="4" t="n">
        <v>700000</v>
      </c>
      <c r="D11" s="30" t="inlineStr">
        <is>
          <t>Estimación de mercado Chile.</t>
        </is>
      </c>
      <c r="E11" s="35" t="n"/>
      <c r="F11" s="35" t="n"/>
      <c r="G11" s="36" t="n"/>
    </row>
    <row r="12" ht="19.5" customHeight="1">
      <c r="B12" s="24" t="inlineStr">
        <is>
          <t>Vida útil del notebook (meses)</t>
        </is>
      </c>
      <c r="C12" s="5" t="n">
        <v>36</v>
      </c>
      <c r="D12" s="30" t="inlineStr">
        <is>
          <t>Depreciación lineal.</t>
        </is>
      </c>
      <c r="E12" s="35" t="n"/>
      <c r="F12" s="35" t="n"/>
      <c r="G12" s="36" t="n"/>
    </row>
    <row r="13">
      <c r="B13" s="7" t="n"/>
      <c r="C13" s="7" t="n"/>
      <c r="D13" s="7" t="n"/>
      <c r="E13" s="7" t="n"/>
      <c r="F13" s="7" t="n"/>
      <c r="G13" s="7" t="n"/>
    </row>
    <row r="14" ht="15" customHeight="1">
      <c r="B14" s="26" t="inlineStr">
        <is>
          <t>1. RECURSO HUMANO (valorizado a precio de mercado; no es desembolso)</t>
        </is>
      </c>
      <c r="C14" s="35" t="n"/>
      <c r="D14" s="35" t="n"/>
      <c r="E14" s="35" t="n"/>
      <c r="F14" s="35" t="n"/>
      <c r="G14" s="36" t="n"/>
    </row>
    <row r="15" ht="30" customHeight="1">
      <c r="B15" s="26" t="inlineStr">
        <is>
          <t>Rol</t>
        </is>
      </c>
      <c r="C15" s="26" t="inlineStr">
        <is>
          <t>Responsable</t>
        </is>
      </c>
      <c r="D15" s="26" t="inlineStr">
        <is>
          <t>Horas</t>
        </is>
      </c>
      <c r="E15" s="26" t="inlineStr">
        <is>
          <t>Valor hora (CLP)</t>
        </is>
      </c>
      <c r="F15" s="26" t="inlineStr">
        <is>
          <t>Costo (CLP)</t>
        </is>
      </c>
      <c r="G15" s="26" t="inlineStr">
        <is>
          <t>Observación</t>
        </is>
      </c>
    </row>
    <row r="16" ht="30" customHeight="1">
      <c r="B16" s="24" t="inlineStr">
        <is>
          <t>Jefe de Proyecto (JP)</t>
        </is>
      </c>
      <c r="C16" s="24" t="inlineStr">
        <is>
          <t>Vicente Rivera</t>
        </is>
      </c>
      <c r="D16" s="8" t="n">
        <v>50</v>
      </c>
      <c r="E16" s="9" t="n">
        <v>13388</v>
      </c>
      <c r="F16" s="10">
        <f>D16*E16</f>
        <v/>
      </c>
      <c r="G16" s="24" t="inlineStr">
        <is>
          <t>Costo empresa $2.142.000 / 160 h. Gestión, control y coordinación.</t>
        </is>
      </c>
    </row>
    <row r="17" ht="30" customHeight="1">
      <c r="B17" s="24" t="inlineStr">
        <is>
          <t>Arquitecto de Software (ASW)</t>
        </is>
      </c>
      <c r="C17" s="24" t="inlineStr">
        <is>
          <t>Vicente Rivera</t>
        </is>
      </c>
      <c r="D17" s="8" t="n">
        <v>45</v>
      </c>
      <c r="E17" s="9" t="n">
        <v>11156</v>
      </c>
      <c r="F17" s="10">
        <f>D17*E17</f>
        <v/>
      </c>
      <c r="G17" s="24" t="inlineStr">
        <is>
          <t>Costo empresa $1.785.000 / 160 h. Arquitectura y despliegue.</t>
        </is>
      </c>
    </row>
    <row r="18" ht="30" customHeight="1">
      <c r="B18" s="24" t="inlineStr">
        <is>
          <t>Administrador de BBDD (DBA)</t>
        </is>
      </c>
      <c r="C18" s="24" t="inlineStr">
        <is>
          <t>Vicente Rivera</t>
        </is>
      </c>
      <c r="D18" s="8" t="n">
        <v>45</v>
      </c>
      <c r="E18" s="9" t="n">
        <v>10041</v>
      </c>
      <c r="F18" s="10">
        <f>D18*E18</f>
        <v/>
      </c>
      <c r="G18" s="24" t="inlineStr">
        <is>
          <t>Costo empresa $1.606.500 / 160 h. PostgreSQL, RLS y scripts.</t>
        </is>
      </c>
    </row>
    <row r="19" ht="30" customHeight="1">
      <c r="B19" s="24" t="inlineStr">
        <is>
          <t>Programador Full Stack 1 – Backend (PFS 1)</t>
        </is>
      </c>
      <c r="C19" s="24" t="inlineStr">
        <is>
          <t>Vicente Rivera</t>
        </is>
      </c>
      <c r="D19" s="8" t="n">
        <v>120</v>
      </c>
      <c r="E19" s="9" t="n">
        <v>7438</v>
      </c>
      <c r="F19" s="10">
        <f>D19*E19</f>
        <v/>
      </c>
      <c r="G19" s="24" t="inlineStr">
        <is>
          <t>Costo empresa $1.190.000 / 160 h. FastAPI, pagos y correos.</t>
        </is>
      </c>
    </row>
    <row r="20" ht="30" customHeight="1">
      <c r="B20" s="24" t="inlineStr">
        <is>
          <t>Analista de Procesos (AP)</t>
        </is>
      </c>
      <c r="C20" s="24" t="inlineStr">
        <is>
          <t>Ignacio Fuenzalida</t>
        </is>
      </c>
      <c r="D20" s="8" t="n">
        <v>60</v>
      </c>
      <c r="E20" s="9" t="n">
        <v>5950</v>
      </c>
      <c r="F20" s="10">
        <f>D20*E20</f>
        <v/>
      </c>
      <c r="G20" s="24" t="inlineStr">
        <is>
          <t>Costo empresa $952.000 / 160 h. ERS, mockups y pruebas.</t>
        </is>
      </c>
    </row>
    <row r="21" ht="30" customHeight="1">
      <c r="B21" s="24" t="inlineStr">
        <is>
          <t>Programador Full Stack 2 – Frontend (PFS 2)</t>
        </is>
      </c>
      <c r="C21" s="24" t="inlineStr">
        <is>
          <t>Ignacio Fuenzalida</t>
        </is>
      </c>
      <c r="D21" s="8" t="n">
        <v>200</v>
      </c>
      <c r="E21" s="9" t="n">
        <v>9669</v>
      </c>
      <c r="F21" s="10">
        <f>D21*E21</f>
        <v/>
      </c>
      <c r="G21" s="24" t="inlineStr">
        <is>
          <t>Costo empresa $1.547.000 / 160 h. Vue.js + Vite.</t>
        </is>
      </c>
    </row>
    <row r="22" ht="30" customHeight="1">
      <c r="B22" s="29" t="inlineStr">
        <is>
          <t>Subtotal recurso humano</t>
        </is>
      </c>
      <c r="C22" s="36" t="n"/>
      <c r="D22" s="11">
        <f>SUM(D16:D21)</f>
        <v/>
      </c>
      <c r="E22" s="12" t="n"/>
      <c r="F22" s="13">
        <f>SUM(F16:F21)</f>
        <v/>
      </c>
      <c r="G22" s="14" t="inlineStr">
        <is>
          <t>Valor hora tomado de la tabla de roles del Acta (talent.com).</t>
        </is>
      </c>
    </row>
    <row r="23" ht="30" customHeight="1">
      <c r="B23" s="30" t="inlineStr">
        <is>
          <t>Control de horas: Vicente Rivera</t>
        </is>
      </c>
      <c r="C23" s="30" t="inlineStr">
        <is>
          <t>Asignadas / disponibles</t>
        </is>
      </c>
      <c r="D23" s="15">
        <f>SUMIF($C$16:$C$21,"Vicente Rivera",$D$16:$D$21)</f>
        <v/>
      </c>
      <c r="E23" s="15">
        <f>$C$8*$C$9</f>
        <v/>
      </c>
      <c r="F23" s="16">
        <f>IF(D23&lt;=E23,"OK","Excede")</f>
        <v/>
      </c>
      <c r="G23" s="30" t="inlineStr">
        <is>
          <t>Las horas asignadas no deben superar las disponibles.</t>
        </is>
      </c>
    </row>
    <row r="24" ht="30" customHeight="1">
      <c r="B24" s="30" t="inlineStr">
        <is>
          <t>Control de horas: Ignacio Fuenzalida</t>
        </is>
      </c>
      <c r="C24" s="30" t="inlineStr">
        <is>
          <t>Asignadas / disponibles</t>
        </is>
      </c>
      <c r="D24" s="15">
        <f>SUMIF($C$16:$C$21,"Ignacio Fuenzalida",$D$16:$D$21)</f>
        <v/>
      </c>
      <c r="E24" s="15">
        <f>$C$8*$C$9</f>
        <v/>
      </c>
      <c r="F24" s="16">
        <f>IF(D24&lt;=E24,"OK","Excede")</f>
        <v/>
      </c>
      <c r="G24" s="30" t="inlineStr">
        <is>
          <t>Las horas asignadas no deben superar las disponibles.</t>
        </is>
      </c>
    </row>
    <row r="25" ht="30" customHeight="1">
      <c r="B25" s="7" t="n"/>
      <c r="C25" s="7" t="n"/>
      <c r="D25" s="7" t="n"/>
      <c r="E25" s="7" t="n"/>
      <c r="F25" s="7" t="n"/>
      <c r="G25" s="7" t="n"/>
    </row>
    <row r="26" ht="30" customHeight="1">
      <c r="B26" s="26" t="inlineStr">
        <is>
          <t>2. INFRAESTRUCTURA Y SERVICIOS – OPCIÓN A (MVP ACADÉMICO)</t>
        </is>
      </c>
      <c r="C26" s="35" t="n"/>
      <c r="D26" s="35" t="n"/>
      <c r="E26" s="35" t="n"/>
      <c r="F26" s="35" t="n"/>
      <c r="G26" s="36" t="n"/>
    </row>
    <row r="27" ht="30" customHeight="1">
      <c r="B27" s="26" t="inlineStr">
        <is>
          <t>Servicio</t>
        </is>
      </c>
      <c r="C27" s="26" t="inlineStr">
        <is>
          <t>Uso en CuTuCo</t>
        </is>
      </c>
      <c r="D27" s="26" t="inlineStr">
        <is>
          <t>Cantidad</t>
        </is>
      </c>
      <c r="E27" s="26" t="inlineStr">
        <is>
          <t>Valor unit. (USD)</t>
        </is>
      </c>
      <c r="F27" s="26" t="inlineStr">
        <is>
          <t>Costo (CLP)</t>
        </is>
      </c>
      <c r="G27" s="26" t="inlineStr">
        <is>
          <t>Observación</t>
        </is>
      </c>
    </row>
    <row r="28" ht="30" customHeight="1">
      <c r="B28" s="24" t="inlineStr">
        <is>
          <t>Dominio web</t>
        </is>
      </c>
      <c r="C28" s="24" t="inlineStr">
        <is>
          <t>Acceso público</t>
        </is>
      </c>
      <c r="D28" s="17" t="n">
        <v>1</v>
      </c>
      <c r="E28" s="18" t="n">
        <v>12</v>
      </c>
      <c r="F28" s="10">
        <f>D28*E28*$C$6</f>
        <v/>
      </c>
      <c r="G28" s="24" t="inlineStr">
        <is>
          <t>Cantidad en años. Costo del informe: USD 12 al año.</t>
        </is>
      </c>
    </row>
    <row r="29" ht="30" customHeight="1">
      <c r="B29" s="24" t="inlineStr">
        <is>
          <t>Vercel Hobby</t>
        </is>
      </c>
      <c r="C29" s="24" t="inlineStr">
        <is>
          <t>Frontend Vue.js + Vite</t>
        </is>
      </c>
      <c r="D29" s="17" t="n">
        <v>3</v>
      </c>
      <c r="E29" s="18" t="n">
        <v>0</v>
      </c>
      <c r="F29" s="10">
        <f>D29*E29*$C$6</f>
        <v/>
      </c>
      <c r="G29" s="24" t="inlineStr">
        <is>
          <t>Cantidad en meses. Nivel gratuito.</t>
        </is>
      </c>
    </row>
    <row r="30" ht="30" customHeight="1">
      <c r="B30" s="24" t="inlineStr">
        <is>
          <t>Supabase (nivel gratuito)</t>
        </is>
      </c>
      <c r="C30" s="24" t="inlineStr">
        <is>
          <t>PostgreSQL, Auth, PostgREST, Storage</t>
        </is>
      </c>
      <c r="D30" s="17" t="n">
        <v>3</v>
      </c>
      <c r="E30" s="18" t="n">
        <v>0</v>
      </c>
      <c r="F30" s="10">
        <f>D30*E30*$C$6</f>
        <v/>
      </c>
      <c r="G30" s="24" t="inlineStr">
        <is>
          <t>Cantidad en meses. Nivel gratuito.</t>
        </is>
      </c>
    </row>
    <row r="31" ht="30" customHeight="1">
      <c r="B31" s="24" t="inlineStr">
        <is>
          <t>GCP Cloud Run + Secret Manager</t>
        </is>
      </c>
      <c r="C31" s="24" t="inlineStr">
        <is>
          <t>FastAPI + Docker (us-central1)</t>
        </is>
      </c>
      <c r="D31" s="17" t="n">
        <v>3</v>
      </c>
      <c r="E31" s="18" t="n">
        <v>0</v>
      </c>
      <c r="F31" s="10">
        <f>D31*E31*$C$6</f>
        <v/>
      </c>
      <c r="G31" s="24" t="inlineStr">
        <is>
          <t>Cubierto por créditos GCP de USD 300 (vigentes hasta el 29/11).</t>
        </is>
      </c>
    </row>
    <row r="32" ht="30" customHeight="1">
      <c r="B32" s="24" t="inlineStr">
        <is>
          <t>Resend</t>
        </is>
      </c>
      <c r="C32" s="24" t="inlineStr">
        <is>
          <t>Correos de Auth (SMTP) y de negocio (API)</t>
        </is>
      </c>
      <c r="D32" s="17" t="n">
        <v>3</v>
      </c>
      <c r="E32" s="18" t="n">
        <v>0</v>
      </c>
      <c r="F32" s="10">
        <f>D32*E32*$C$6</f>
        <v/>
      </c>
      <c r="G32" s="24" t="inlineStr">
        <is>
          <t>Cantidad en meses. Nivel gratuito.</t>
        </is>
      </c>
    </row>
    <row r="33" ht="30" customHeight="1">
      <c r="B33" s="24" t="inlineStr">
        <is>
          <t>Transbank Webpay Mall Test</t>
        </is>
      </c>
      <c r="C33" s="24" t="inlineStr">
        <is>
          <t>Pagos en ambiente de integración</t>
        </is>
      </c>
      <c r="D33" s="17" t="n">
        <v>3</v>
      </c>
      <c r="E33" s="18" t="n">
        <v>0</v>
      </c>
      <c r="F33" s="10">
        <f>D33*E33*$C$6</f>
        <v/>
      </c>
      <c r="G33" s="24" t="inlineStr">
        <is>
          <t>Ambiente de pruebas sin costo.</t>
        </is>
      </c>
    </row>
    <row r="34" ht="30" customHeight="1">
      <c r="B34" s="24" t="inlineStr">
        <is>
          <t>GitHub + GitHub Actions</t>
        </is>
      </c>
      <c r="C34" s="24" t="inlineStr">
        <is>
          <t>Repositorio y CI/CD</t>
        </is>
      </c>
      <c r="D34" s="17" t="n">
        <v>3</v>
      </c>
      <c r="E34" s="18" t="n">
        <v>0</v>
      </c>
      <c r="F34" s="10">
        <f>D34*E34*$C$6</f>
        <v/>
      </c>
      <c r="G34" s="24" t="inlineStr">
        <is>
          <t>Cantidad en meses. Plan gratuito.</t>
        </is>
      </c>
    </row>
    <row r="35" ht="30" customHeight="1">
      <c r="B35" s="29" t="inlineStr">
        <is>
          <t>Subtotal infraestructura (desembolso)</t>
        </is>
      </c>
      <c r="C35" s="35" t="n"/>
      <c r="D35" s="35" t="n"/>
      <c r="E35" s="36" t="n"/>
      <c r="F35" s="13">
        <f>SUM(F28:F34)</f>
        <v/>
      </c>
      <c r="G35" s="14" t="inlineStr">
        <is>
          <t>Coincide con el orden de USD 12 indicado en el Acta.</t>
        </is>
      </c>
    </row>
    <row r="36" ht="30" customHeight="1">
      <c r="B36" s="7" t="n"/>
      <c r="C36" s="7" t="n"/>
      <c r="D36" s="7" t="n"/>
      <c r="E36" s="7" t="n"/>
      <c r="F36" s="7" t="n"/>
      <c r="G36" s="7" t="n"/>
    </row>
    <row r="37" ht="30" customHeight="1">
      <c r="B37" s="26" t="inlineStr">
        <is>
          <t>3. OTROS COSTOS DEL PROYECTO</t>
        </is>
      </c>
      <c r="C37" s="35" t="n"/>
      <c r="D37" s="35" t="n"/>
      <c r="E37" s="35" t="n"/>
      <c r="F37" s="35" t="n"/>
      <c r="G37" s="36" t="n"/>
    </row>
    <row r="38" ht="30" customHeight="1">
      <c r="B38" s="26" t="inlineStr">
        <is>
          <t>Concepto</t>
        </is>
      </c>
      <c r="C38" s="26" t="inlineStr">
        <is>
          <t>Detalle</t>
        </is>
      </c>
      <c r="D38" s="26" t="inlineStr">
        <is>
          <t>Cantidad</t>
        </is>
      </c>
      <c r="E38" s="26" t="inlineStr">
        <is>
          <t>Valor unit. (CLP)</t>
        </is>
      </c>
      <c r="F38" s="26" t="inlineStr">
        <is>
          <t>Costo (CLP)</t>
        </is>
      </c>
      <c r="G38" s="26" t="inlineStr">
        <is>
          <t>Observación</t>
        </is>
      </c>
    </row>
    <row r="39" ht="30" customHeight="1">
      <c r="B39" s="24" t="inlineStr">
        <is>
          <t>Internet y electricidad (trabajo remoto)</t>
        </is>
      </c>
      <c r="C39" s="24" t="inlineStr">
        <is>
          <t>Persona-mes</t>
        </is>
      </c>
      <c r="D39" s="19">
        <f>2*$C$7</f>
        <v/>
      </c>
      <c r="E39" s="9" t="n">
        <v>25000</v>
      </c>
      <c r="F39" s="10">
        <f>D39*E39</f>
        <v/>
      </c>
      <c r="G39" s="24" t="inlineStr">
        <is>
          <t>Supuesto: $25.000 mensuales por integrante.</t>
        </is>
      </c>
    </row>
    <row r="40" ht="30" customHeight="1">
      <c r="B40" s="24" t="inlineStr">
        <is>
          <t>Depreciación de notebooks propios</t>
        </is>
      </c>
      <c r="C40" s="24" t="inlineStr">
        <is>
          <t>Equipo-mes</t>
        </is>
      </c>
      <c r="D40" s="19">
        <f>2*$C$7</f>
        <v/>
      </c>
      <c r="E40" s="10">
        <f>ROUND($C$11/$C$12,0)</f>
        <v/>
      </c>
      <c r="F40" s="10">
        <f>D40*E40</f>
        <v/>
      </c>
      <c r="G40" s="24" t="inlineStr">
        <is>
          <t>Valor del equipo / vida útil. No se compran equipos nuevos.</t>
        </is>
      </c>
    </row>
    <row r="41" ht="30" customHeight="1">
      <c r="B41" s="24" t="inlineStr">
        <is>
          <t>Impresión y material de la presentación final</t>
        </is>
      </c>
      <c r="C41" s="24" t="inlineStr">
        <is>
          <t>Global</t>
        </is>
      </c>
      <c r="D41" s="17" t="n">
        <v>1</v>
      </c>
      <c r="E41" s="9" t="n">
        <v>30000</v>
      </c>
      <c r="F41" s="10">
        <f>D41*E41</f>
        <v/>
      </c>
      <c r="G41" s="24" t="inlineStr">
        <is>
          <t>Supuesto del equipo.</t>
        </is>
      </c>
    </row>
    <row r="42" ht="30" customHeight="1">
      <c r="B42" s="24" t="inlineStr">
        <is>
          <t>Herramientas de desarrollo y diseño</t>
        </is>
      </c>
      <c r="C42" s="24" t="inlineStr">
        <is>
          <t>VS Code, DBeaver, Figma, Postman</t>
        </is>
      </c>
      <c r="D42" s="17" t="n">
        <v>1</v>
      </c>
      <c r="E42" s="9" t="n">
        <v>0</v>
      </c>
      <c r="F42" s="10">
        <f>D42*E42</f>
        <v/>
      </c>
      <c r="G42" s="24" t="inlineStr">
        <is>
          <t>Versiones gratuitas o académicas.</t>
        </is>
      </c>
    </row>
    <row r="43" ht="30" customHeight="1">
      <c r="B43" s="29" t="inlineStr">
        <is>
          <t>Subtotal otros costos (desembolso)</t>
        </is>
      </c>
      <c r="C43" s="35" t="n"/>
      <c r="D43" s="35" t="n"/>
      <c r="E43" s="36" t="n"/>
      <c r="F43" s="13">
        <f>SUM(F39:F42)</f>
        <v/>
      </c>
      <c r="G43" s="12" t="n"/>
    </row>
    <row r="44" ht="30" customHeight="1">
      <c r="B44" s="7" t="n"/>
      <c r="C44" s="7" t="n"/>
      <c r="D44" s="7" t="n"/>
      <c r="E44" s="7" t="n"/>
      <c r="F44" s="7" t="n"/>
      <c r="G44" s="7" t="n"/>
    </row>
    <row r="45" ht="30" customHeight="1">
      <c r="B45" s="26" t="inlineStr">
        <is>
          <t>4. RESUMEN DEL PRESUPUESTO ESTIMADO</t>
        </is>
      </c>
      <c r="C45" s="35" t="n"/>
      <c r="D45" s="35" t="n"/>
      <c r="E45" s="35" t="n"/>
      <c r="F45" s="35" t="n"/>
      <c r="G45" s="36" t="n"/>
    </row>
    <row r="46" ht="30" customHeight="1">
      <c r="B46" s="26" t="inlineStr">
        <is>
          <t>Concepto</t>
        </is>
      </c>
      <c r="C46" s="35" t="n"/>
      <c r="D46" s="35" t="n"/>
      <c r="E46" s="36" t="n"/>
      <c r="F46" s="26" t="inlineStr">
        <is>
          <t>Monto (CLP)</t>
        </is>
      </c>
      <c r="G46" s="26" t="inlineStr">
        <is>
          <t>Observación</t>
        </is>
      </c>
    </row>
    <row r="47" ht="30" customHeight="1">
      <c r="B47" s="24" t="inlineStr">
        <is>
          <t>Desembolso en efectivo (infraestructura + otros costos)</t>
        </is>
      </c>
      <c r="C47" s="35" t="n"/>
      <c r="D47" s="35" t="n"/>
      <c r="E47" s="36" t="n"/>
      <c r="F47" s="10">
        <f>F35+F43</f>
        <v/>
      </c>
      <c r="G47" s="30" t="inlineStr">
        <is>
          <t>Dinero que realmente se paga.</t>
        </is>
      </c>
    </row>
    <row r="48" ht="30" customHeight="1">
      <c r="B48" s="24" t="inlineStr">
        <is>
          <t>Recurso humano valorizado</t>
        </is>
      </c>
      <c r="C48" s="35" t="n"/>
      <c r="D48" s="35" t="n"/>
      <c r="E48" s="36" t="n"/>
      <c r="F48" s="10">
        <f>F22</f>
        <v/>
      </c>
      <c r="G48" s="30" t="inlineStr">
        <is>
          <t>Referencia de mercado; el equipo no recibe pago.</t>
        </is>
      </c>
    </row>
    <row r="49" ht="30" customHeight="1">
      <c r="B49" s="28" t="inlineStr">
        <is>
          <t>Subtotal del proyecto</t>
        </is>
      </c>
      <c r="C49" s="35" t="n"/>
      <c r="D49" s="35" t="n"/>
      <c r="E49" s="36" t="n"/>
      <c r="F49" s="20">
        <f>F47+F48</f>
        <v/>
      </c>
      <c r="G49" s="21" t="n"/>
    </row>
    <row r="50" ht="30" customHeight="1">
      <c r="B50" s="24" t="inlineStr">
        <is>
          <t>Contingencia</t>
        </is>
      </c>
      <c r="C50" s="35" t="n"/>
      <c r="D50" s="35" t="n"/>
      <c r="E50" s="36" t="n"/>
      <c r="F50" s="10">
        <f>F49*$C$10</f>
        <v/>
      </c>
      <c r="G50" s="30" t="inlineStr">
        <is>
          <t>Porcentaje definido en los supuestos.</t>
        </is>
      </c>
    </row>
    <row r="51" ht="30" customHeight="1">
      <c r="B51" s="29" t="inlineStr">
        <is>
          <t>TOTAL PRESUPUESTO ESTIMADO</t>
        </is>
      </c>
      <c r="C51" s="35" t="n"/>
      <c r="D51" s="35" t="n"/>
      <c r="E51" s="36" t="n"/>
      <c r="F51" s="13">
        <f>F49+F50</f>
        <v/>
      </c>
      <c r="G51" s="14" t="inlineStr">
        <is>
          <t>Valor total del proyecto.</t>
        </is>
      </c>
    </row>
    <row r="52" ht="30" customHeight="1">
      <c r="B52" s="24" t="inlineStr">
        <is>
          <t>Total presupuesto estimado en USD</t>
        </is>
      </c>
      <c r="C52" s="35" t="n"/>
      <c r="D52" s="35" t="n"/>
      <c r="E52" s="36" t="n"/>
      <c r="F52" s="22">
        <f>F51/$C$6</f>
        <v/>
      </c>
      <c r="G52" s="30" t="inlineStr">
        <is>
          <t>Según el tipo de cambio supuesto.</t>
        </is>
      </c>
    </row>
    <row r="53" ht="30" customHeight="1">
      <c r="B53" s="25" t="inlineStr">
        <is>
          <t>Desembolso en efectivo con contingencia</t>
        </is>
      </c>
      <c r="C53" s="35" t="n"/>
      <c r="D53" s="35" t="n"/>
      <c r="E53" s="36" t="n"/>
      <c r="F53" s="23">
        <f>F47*(1+$C$10)</f>
        <v/>
      </c>
      <c r="G53" s="30" t="inlineStr">
        <is>
          <t>Monto mínimo a tener disponible.</t>
        </is>
      </c>
    </row>
    <row r="54" ht="30" customHeight="1">
      <c r="B54" s="7" t="n"/>
      <c r="C54" s="7" t="n"/>
      <c r="D54" s="7" t="n"/>
      <c r="E54" s="7" t="n"/>
      <c r="F54" s="7" t="n"/>
      <c r="G54" s="7" t="n"/>
    </row>
    <row r="55" ht="30" customHeight="1">
      <c r="B55" s="26" t="inlineStr">
        <is>
          <t>5. PROYECCIÓN ANUAL DE CONTINUIDAD (OPCIÓN B) – REFERENCIAL, NO INCLUIDA EN EL TOTAL</t>
        </is>
      </c>
      <c r="C55" s="35" t="n"/>
      <c r="D55" s="35" t="n"/>
      <c r="E55" s="35" t="n"/>
      <c r="F55" s="35" t="n"/>
      <c r="G55" s="36" t="n"/>
    </row>
    <row r="56" ht="30" customHeight="1">
      <c r="B56" s="26" t="inlineStr">
        <is>
          <t>Escenario</t>
        </is>
      </c>
      <c r="C56" s="26" t="inlineStr">
        <is>
          <t>Detalle</t>
        </is>
      </c>
      <c r="D56" s="26" t="inlineStr">
        <is>
          <t>Meses</t>
        </is>
      </c>
      <c r="E56" s="26" t="inlineStr">
        <is>
          <t>Valor mensual (USD)</t>
        </is>
      </c>
      <c r="F56" s="26" t="inlineStr">
        <is>
          <t>Costo (CLP)</t>
        </is>
      </c>
      <c r="G56" s="26" t="inlineStr">
        <is>
          <t>Observación</t>
        </is>
      </c>
    </row>
    <row r="57" ht="30" customHeight="1">
      <c r="B57" s="24" t="inlineStr">
        <is>
          <t>Mínimo mensual</t>
        </is>
      </c>
      <c r="C57" s="24" t="inlineStr">
        <is>
          <t>Infraestructura productiva</t>
        </is>
      </c>
      <c r="D57" s="17" t="n">
        <v>1</v>
      </c>
      <c r="E57" s="18" t="n">
        <v>100</v>
      </c>
      <c r="F57" s="10">
        <f>D57*E57*$C$6</f>
        <v/>
      </c>
      <c r="G57" s="24" t="inlineStr">
        <is>
          <t>Rango del informe: USD 100 a 120 al mes.</t>
        </is>
      </c>
    </row>
    <row r="58" ht="30" customHeight="1">
      <c r="B58" s="24" t="inlineStr">
        <is>
          <t>Máximo mensual</t>
        </is>
      </c>
      <c r="C58" s="24" t="inlineStr">
        <is>
          <t>Infraestructura productiva</t>
        </is>
      </c>
      <c r="D58" s="17" t="n">
        <v>1</v>
      </c>
      <c r="E58" s="18" t="n">
        <v>120</v>
      </c>
      <c r="F58" s="10">
        <f>D58*E58*$C$6</f>
        <v/>
      </c>
      <c r="G58" s="24" t="inlineStr">
        <is>
          <t>Rango del informe: USD 100 a 120 al mes.</t>
        </is>
      </c>
    </row>
    <row r="59" ht="30" customHeight="1">
      <c r="B59" s="24" t="inlineStr">
        <is>
          <t>Mínimo anual</t>
        </is>
      </c>
      <c r="C59" s="24" t="inlineStr">
        <is>
          <t>Primer año en producción</t>
        </is>
      </c>
      <c r="D59" s="17" t="n">
        <v>12</v>
      </c>
      <c r="E59" s="18" t="n">
        <v>100</v>
      </c>
      <c r="F59" s="10">
        <f>D59*E59*$C$6</f>
        <v/>
      </c>
      <c r="G59" s="24" t="inlineStr">
        <is>
          <t>Proyección de continuidad.</t>
        </is>
      </c>
    </row>
    <row r="60" ht="30" customHeight="1">
      <c r="B60" s="24" t="inlineStr">
        <is>
          <t>Máximo anual</t>
        </is>
      </c>
      <c r="C60" s="24" t="inlineStr">
        <is>
          <t>Primer año en producción</t>
        </is>
      </c>
      <c r="D60" s="17" t="n">
        <v>12</v>
      </c>
      <c r="E60" s="18" t="n">
        <v>120</v>
      </c>
      <c r="F60" s="10">
        <f>D60*E60*$C$6</f>
        <v/>
      </c>
      <c r="G60" s="24" t="inlineStr">
        <is>
          <t>Más comisiones Webpay por transacción (variables, no incluidas).</t>
        </is>
      </c>
    </row>
    <row r="61" ht="30" customHeight="1">
      <c r="B61" s="7" t="n"/>
      <c r="C61" s="7" t="n"/>
      <c r="D61" s="7" t="n"/>
      <c r="E61" s="7" t="n"/>
      <c r="F61" s="7" t="n"/>
      <c r="G61" s="7" t="n"/>
    </row>
    <row r="62" ht="30" customHeight="1">
      <c r="B62" s="27" t="n"/>
    </row>
  </sheetData>
  <mergeCells count="29">
    <mergeCell ref="B2:G2"/>
    <mergeCell ref="D9:G9"/>
    <mergeCell ref="B49:E49"/>
    <mergeCell ref="D12:G12"/>
    <mergeCell ref="B14:G14"/>
    <mergeCell ref="D8:G8"/>
    <mergeCell ref="B1:G1"/>
    <mergeCell ref="B22:C22"/>
    <mergeCell ref="B51:E51"/>
    <mergeCell ref="B35:E35"/>
    <mergeCell ref="B50:E50"/>
    <mergeCell ref="B37:G37"/>
    <mergeCell ref="B47:E47"/>
    <mergeCell ref="D10:G10"/>
    <mergeCell ref="B46:E46"/>
    <mergeCell ref="B55:G55"/>
    <mergeCell ref="B5:G5"/>
    <mergeCell ref="B43:E43"/>
    <mergeCell ref="D6:G6"/>
    <mergeCell ref="B45:G45"/>
    <mergeCell ref="B52:E52"/>
    <mergeCell ref="B48:E48"/>
    <mergeCell ref="B4:G4"/>
    <mergeCell ref="B26:G26"/>
    <mergeCell ref="D11:G11"/>
    <mergeCell ref="B62:G62"/>
    <mergeCell ref="B3:G3"/>
    <mergeCell ref="B53:E53"/>
    <mergeCell ref="D7:G7"/>
  </mergeCells>
  <pageMargins left="0.75" right="0.75" top="1" bottom="1" header="0.511811023622047" footer="0.511811023622047"/>
  <pageSetup orientation="portrait" scale="3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CETECOM</dc:creator>
  <dc:language xmlns:dc="http://purl.org/dc/elements/1.1/">en-US</dc:language>
  <dcterms:created xmlns:dcterms="http://purl.org/dc/terms/" xmlns:xsi="http://www.w3.org/2001/XMLSchema-instance" xsi:type="dcterms:W3CDTF">2022-10-18T13:55:40Z</dcterms:created>
  <dcterms:modified xmlns:dcterms="http://purl.org/dc/terms/" xmlns:xsi="http://www.w3.org/2001/XMLSchema-instance" xsi:type="dcterms:W3CDTF">2026-10-10T15:24:40Z</dcterms:modified>
  <cp:lastModifiedBy>IGNACIO JAVIER FUENZALIDA CHANDIA</cp:lastModifiedBy>
  <cp:revision>0</cp:revision>
  <cp:lastPrinted>2026-10-07T01:03:54Z</cp:lastPrinted>
</cp:coreProperties>
</file>
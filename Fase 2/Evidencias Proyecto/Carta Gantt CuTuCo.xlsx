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ignac\Downloads\"/>
    </mc:Choice>
  </mc:AlternateContent>
  <xr:revisionPtr revIDLastSave="0" documentId="13_ncr:1_{CD6248D8-D3BD-4199-91D3-6646C492B838}" xr6:coauthVersionLast="47" xr6:coauthVersionMax="47" xr10:uidLastSave="{00000000-0000-0000-0000-000000000000}"/>
  <bookViews>
    <workbookView xWindow="-120" yWindow="-120" windowWidth="29040" windowHeight="16440" tabRatio="500" activeTab="2" xr2:uid="{00000000-000D-0000-FFFF-FFFF00000000}"/>
  </bookViews>
  <sheets>
    <sheet name="Analisis de Ingresos" sheetId="1" r:id="rId1"/>
    <sheet name="Carta Gantt" sheetId="2" r:id="rId2"/>
    <sheet name="EDT v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26" i="3" l="1"/>
  <c r="G26" i="3"/>
  <c r="F26" i="3"/>
  <c r="E26" i="3"/>
  <c r="D26" i="3"/>
  <c r="C26" i="3"/>
  <c r="B20" i="3"/>
  <c r="B13" i="3"/>
  <c r="B8" i="3"/>
  <c r="B3" i="3"/>
  <c r="B26" i="3" s="1"/>
  <c r="F8" i="1"/>
  <c r="G8" i="1" s="1"/>
  <c r="M8" i="3" s="1"/>
  <c r="K25" i="3" s="1"/>
  <c r="F7" i="1"/>
  <c r="G7" i="1" s="1"/>
  <c r="M7" i="3" s="1"/>
  <c r="K24" i="3" s="1"/>
  <c r="F6" i="1"/>
  <c r="G6" i="1" s="1"/>
  <c r="M6" i="3" s="1"/>
  <c r="K23" i="3" s="1"/>
  <c r="F5" i="1"/>
  <c r="G5" i="1" s="1"/>
  <c r="M5" i="3" s="1"/>
  <c r="K22" i="3" s="1"/>
  <c r="F4" i="1"/>
  <c r="G4" i="1" s="1"/>
  <c r="M4" i="3" s="1"/>
  <c r="K21" i="3" s="1"/>
  <c r="F3" i="1"/>
  <c r="G3" i="1" s="1"/>
  <c r="M3" i="3" s="1"/>
  <c r="K20" i="3" s="1"/>
  <c r="K26" i="3" s="1"/>
</calcChain>
</file>

<file path=xl/sharedStrings.xml><?xml version="1.0" encoding="utf-8"?>
<sst xmlns="http://schemas.openxmlformats.org/spreadsheetml/2006/main" count="182" uniqueCount="125">
  <si>
    <t>EXPERIENCIA</t>
  </si>
  <si>
    <t>Sigla</t>
  </si>
  <si>
    <t>Rol</t>
  </si>
  <si>
    <t>.- 2 años</t>
  </si>
  <si>
    <t>.+ 2 años</t>
  </si>
  <si>
    <t>Sueldo Liquido</t>
  </si>
  <si>
    <t>Sueldo Costo Empresa</t>
  </si>
  <si>
    <t>HH</t>
  </si>
  <si>
    <t>JP</t>
  </si>
  <si>
    <t>Jefe de proyecto</t>
  </si>
  <si>
    <t>X</t>
  </si>
  <si>
    <t>https://cl.talent.com/salary?job=Jefe+de+proyecto</t>
  </si>
  <si>
    <t>AP</t>
  </si>
  <si>
    <t>ANALISTA DE PROCESOS</t>
  </si>
  <si>
    <t>https://cl.talent.com/salary?job=analista+de+procesos</t>
  </si>
  <si>
    <t>ASW</t>
  </si>
  <si>
    <t>ARQUITECTO DE SOFTWARE</t>
  </si>
  <si>
    <t>DBA</t>
  </si>
  <si>
    <t>ADMINISTRADOR DE BBDD</t>
  </si>
  <si>
    <t>PFS 1</t>
  </si>
  <si>
    <t>PROGRAMADOR FULL STACK</t>
  </si>
  <si>
    <t>PFS 2</t>
  </si>
  <si>
    <t>https://cl.talent.com/salary?job=programador+full+stack</t>
  </si>
  <si>
    <t>Sueldos referenciales de mercado (talent.com), usados solo para valorizar las horas de la hoja EDT v.</t>
  </si>
  <si>
    <t>Somos dos personas: Vicente Rivera cubre JP, ASW, DBA y PFS 1; Ignacio Fuenzalida cubre AP y PFS 2.</t>
  </si>
  <si>
    <t xml:space="preserve">       </t>
  </si>
  <si>
    <t>Actividades Proyecto</t>
  </si>
  <si>
    <t>Semana 1 = 11/09/2026 (cada columna es una semana)</t>
  </si>
  <si>
    <t>Sept.</t>
  </si>
  <si>
    <t>Octubre</t>
  </si>
  <si>
    <t>Noviembre</t>
  </si>
  <si>
    <t>Dic.</t>
  </si>
  <si>
    <t>Fase 1: Planificación inicial</t>
  </si>
  <si>
    <t>Inicio del proyecto y confirmación del alcance validado</t>
  </si>
  <si>
    <t>Acta de Constitución del Proyecto</t>
  </si>
  <si>
    <t>EDT, Hitos de Desarrollo y Diccionario</t>
  </si>
  <si>
    <t>Carta Gantt, Matriz RACI y Matriz de Riesgos</t>
  </si>
  <si>
    <t>Plan de Pruebas Inicial (estrategia y matriz de casos)</t>
  </si>
  <si>
    <t>Fase 2: Análisis y diseño</t>
  </si>
  <si>
    <t>ERS y criterios de aceptación</t>
  </si>
  <si>
    <t>Ajuste de requerimientos al alcance actualizado (Queda / No queda)</t>
  </si>
  <si>
    <t>Modelo de datos: DER, tabla payouts, RLS y policies</t>
  </si>
  <si>
    <t>Arquitectura: Supabase (GoTrue, PostgREST), FastAPI y despliegue</t>
  </si>
  <si>
    <t>Mockups de interfaz Vue.js (cliente, productor y administración)</t>
  </si>
  <si>
    <t>Plan de Calidad y de Costos</t>
  </si>
  <si>
    <t>Diseño de casos de prueba</t>
  </si>
  <si>
    <t>Fase 3: Construcción</t>
  </si>
  <si>
    <t>Base técnica: Git, FastAPI + Docker, Cloud Run y Vue + Vite</t>
  </si>
  <si>
    <t>Supabase: PostgreSQL, Storage, RLS y secretos (Secret Manager)</t>
  </si>
  <si>
    <t>Migración SQLite a PostgreSQL y scripts de creación (DDL)</t>
  </si>
  <si>
    <t>Autenticación y roles con GoTrue; bloqueo tras 5 intentos (FastAPI)</t>
  </si>
  <si>
    <t>Registro de cliente y productor; aprobación de productores</t>
  </si>
  <si>
    <t>Catálogo con acceso invitado, buscador y carrito (Vue.js)</t>
  </si>
  <si>
    <t>Consultas por PostgREST: productos, pedidos, usuarios y categorías</t>
  </si>
  <si>
    <t>Panel del productor: productos, stock y ventas</t>
  </si>
  <si>
    <t>Restricción de venta por región del productor y del cliente</t>
  </si>
  <si>
    <t>Pago con Webpay Plus Test (create, token_ws, commit) e idempotencia</t>
  </si>
  <si>
    <t>Custodia, tabla payouts, payouts manuales y reembolsos</t>
  </si>
  <si>
    <t>Checkout y seguimiento del pedido (Vue.js)</t>
  </si>
  <si>
    <t>Panel de administración y dashboard (aprobaciones, sanciones, pagos)</t>
  </si>
  <si>
    <t>Entrega con código de verificación (Preparación, En Tránsito, Entregado)</t>
  </si>
  <si>
    <t>Calificaciones de 1 a 5, promedio y sanciones manuales</t>
  </si>
  <si>
    <t>Correos con Resend (Auth por SMTP de Supabase y notificaciones)</t>
  </si>
  <si>
    <t>Validaciones: Vuelidate en frontend y Pydantic/constraints en backend</t>
  </si>
  <si>
    <t>Despliegue en Vercel y GitHub Actions (lint, tests, build)</t>
  </si>
  <si>
    <t>Pruebas unitarias de backend y frontend (Pytest, Vitest)</t>
  </si>
  <si>
    <t>Código fuente y documentación interna</t>
  </si>
  <si>
    <t>Verificación de alcances</t>
  </si>
  <si>
    <t>Fase 4: Implementación y cierre</t>
  </si>
  <si>
    <t>Pruebas de integración de la API REST</t>
  </si>
  <si>
    <t>Pruebas E2E de flujos críticos (compra, pago, entrega, calificación)</t>
  </si>
  <si>
    <t>Corrección de defectos y regresión</t>
  </si>
  <si>
    <t>Despliegue final y pruebas de humo (Vercel, Cloud Run, Supabase)</t>
  </si>
  <si>
    <t>Plan de Implantación, Soporte y Mantenimiento</t>
  </si>
  <si>
    <t>Manuales de Usuario y de Administrador</t>
  </si>
  <si>
    <t>Plan de Pruebas Final y Reporte de Estatus Final</t>
  </si>
  <si>
    <t>Preparación y entrega final</t>
  </si>
  <si>
    <t>Actividades transversales</t>
  </si>
  <si>
    <t>Reuniones semanales de revisión de alcance, avances y riesgos</t>
  </si>
  <si>
    <t>Control de cambios y Minuta de Control de Programación</t>
  </si>
  <si>
    <t>Control de calidad y revisión cruzada entre ambos</t>
  </si>
  <si>
    <t>Proyecto: CuTuCo (Cultiva Tu Compra) - Marketplace SaaS B2B2C de comercio de proximidad</t>
  </si>
  <si>
    <t>DICCIONARIO EDT</t>
  </si>
  <si>
    <t>Días</t>
  </si>
  <si>
    <t>Horas por Actividad o Entregable</t>
  </si>
  <si>
    <t>SIGLA</t>
  </si>
  <si>
    <t>ROL</t>
  </si>
  <si>
    <t>NOMBRE</t>
  </si>
  <si>
    <t>COSTO x HORA</t>
  </si>
  <si>
    <t>Fase 1: Planificación inicial (Semana 1)</t>
  </si>
  <si>
    <t>JEFE DE PROYECTO</t>
  </si>
  <si>
    <t>Vicente Rivera</t>
  </si>
  <si>
    <t>1.1 Inicio y alcance validado (objetivo, alcance, fuera de alcance)</t>
  </si>
  <si>
    <t>Ignacio Fuenzalida</t>
  </si>
  <si>
    <t>1.2 Acta de Constitución, EDT, Hitos de Desarrollo y Diccionario</t>
  </si>
  <si>
    <t>1.3 Carta Gantt, Matriz RACI y Matriz de Riesgos</t>
  </si>
  <si>
    <t>1.4 Plan de Pruebas Inicial (estrategia y matriz de casos)</t>
  </si>
  <si>
    <t>Fase 2: Análisis y diseño (Semanas 2 a 4)</t>
  </si>
  <si>
    <t>2.1 ERS, criterios de aceptación y ajuste de requerimientos (Queda / No queda)</t>
  </si>
  <si>
    <t>2.2 Modelo de datos (DER, payouts, RLS) y arquitectura de la solución</t>
  </si>
  <si>
    <t>2.3 Mockups Vue.js: cliente, productor, administración, checkout y entrega</t>
  </si>
  <si>
    <t>2.4 Plan de Calidad y de Costos; diseño de casos de prueba</t>
  </si>
  <si>
    <t>Fase 3: Construcción (Semanas 4 a 10)</t>
  </si>
  <si>
    <t>3.1 Base técnica: Git, FastAPI + Docker, Cloud Run, Supabase y Vue + Vite</t>
  </si>
  <si>
    <t>3.2 Migración SQLite a PostgreSQL, DDL, RLS y autenticación con GoTrue</t>
  </si>
  <si>
    <t>3.3 Catálogo invitado, carrito, registro, panel productor y CRUD base (PostgREST)</t>
  </si>
  <si>
    <t>3.4 Webpay Plus Test, custodia, payouts manuales, reembolsos y checkout</t>
  </si>
  <si>
    <t>3.5 Entrega con código, venta por región, calificaciones, sanciones y correos</t>
  </si>
  <si>
    <t>3.6 Dashboard admin, validaciones (Vuelidate) y pruebas unitarias</t>
  </si>
  <si>
    <t>COSTO HH POR ROL</t>
  </si>
  <si>
    <t>Fase 4: Implementación y cierre (Semanas 11 a 13)</t>
  </si>
  <si>
    <t>4.1 Pruebas de integración API y E2E, correcciones y verificación de alcances</t>
  </si>
  <si>
    <t>4.2 Despliegue final (Vercel, Cloud Run, Supabase) y pruebas de humo</t>
  </si>
  <si>
    <t>4.3 Plan de Implantación, Soporte y Mantenimiento; Manuales de Usuario/Admin</t>
  </si>
  <si>
    <t>4.4 Plan de Pruebas Final, Reporte de Estatus Final y entrega final</t>
  </si>
  <si>
    <t>Dias</t>
  </si>
  <si>
    <t>Total</t>
  </si>
  <si>
    <t>TOTAL HH</t>
  </si>
  <si>
    <t>Notas del equipo:</t>
  </si>
  <si>
    <t>Somos dos personas: Vicente Rivera (líder backend / Jefe de Proyecto) e Ignacio Fuenzalida (IT frontend).</t>
  </si>
  <si>
    <t>Los roles de la tabla son funciones. Vicente cubre JP, ASW, DBA y PFS 1 (backend); Ignacio cubre AP y PFS 2 (frontend).</t>
  </si>
  <si>
    <t>Días hábiles: suman 65 (13 semanas desde el 11/09/2026). Las horas son estimaciones nuestras.</t>
  </si>
  <si>
    <t>El costo por hora usa sueldos referenciales (hoja Analisis de Ingresos); no son pagos reales del proyecto.</t>
  </si>
  <si>
    <t>Alcance actualizado: no planificamos historial de precios, stock bajo, múltiples admins, retención de carnet ni rate limiting.</t>
  </si>
  <si>
    <t>Sin geolocalización, fotos obligatorias ni cosecha del día: la entrega se confirma con código y las sanciones son manuales.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</si>
</sst>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[$$-340A]#,##0"/>
    <numFmt numFmtId="165" formatCode="_-\$* #,##0_-;&quot;-$&quot;* #,##0_-;_-\$* \-_-;_-@"/>
    <numFmt numFmtId="166" formatCode="_ \$* #,##0_ ;_ \$* \-#,##0_ ;_ \$* \-_ ;_ @_ "/>
    <numFmt numFmtId="167" formatCode="\$#,##0"/>
    <numFmt numFmtId="168" formatCode="[$$]#,##0"/>
    <numFmt numFmtId="169" formatCode="\$#,##0;[Red]&quot;$-&quot;#,##0"/>
  </numFmts>
  <fonts count="14" x14ac:knownFonts="1">
    <font>
      <sz val="11"/>
      <color theme="1"/>
      <name val="Arial"/>
      <charset val="1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u/>
      <sz val="11"/>
      <color theme="10"/>
      <name val="Calibri"/>
      <family val="2"/>
    </font>
    <font>
      <b/>
      <sz val="13"/>
      <color theme="1"/>
      <name val="Calibri"/>
      <family val="2"/>
    </font>
    <font>
      <sz val="10"/>
      <color theme="1"/>
      <name val="Calibri"/>
      <family val="2"/>
    </font>
    <font>
      <b/>
      <sz val="10"/>
      <color theme="0"/>
      <name val="Calibri"/>
      <family val="2"/>
    </font>
    <font>
      <b/>
      <sz val="14"/>
      <color theme="0"/>
      <name val="Calibri"/>
      <family val="2"/>
    </font>
    <font>
      <sz val="11"/>
      <color rgb="FFFF0000"/>
      <name val="Calibri"/>
      <family val="2"/>
    </font>
    <font>
      <b/>
      <sz val="14"/>
      <color theme="1"/>
      <name val="Calibri"/>
      <family val="2"/>
    </font>
    <font>
      <b/>
      <sz val="1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8EAADB"/>
        <bgColor rgb="FF969696"/>
      </patternFill>
    </fill>
    <fill>
      <patternFill patternType="solid">
        <fgColor rgb="FFD9D9D9"/>
        <bgColor rgb="FFD8D8D8"/>
      </patternFill>
    </fill>
    <fill>
      <patternFill patternType="solid">
        <fgColor rgb="FFFFD966"/>
        <bgColor rgb="FFFFFF99"/>
      </patternFill>
    </fill>
    <fill>
      <patternFill patternType="solid">
        <fgColor rgb="FF7F7F7F"/>
        <bgColor rgb="FF969696"/>
      </patternFill>
    </fill>
    <fill>
      <patternFill patternType="solid">
        <fgColor rgb="FF92D050"/>
        <bgColor rgb="FFBFBFBF"/>
      </patternFill>
    </fill>
    <fill>
      <patternFill patternType="solid">
        <fgColor rgb="FF4472C4"/>
        <bgColor rgb="FF4F81BD"/>
      </patternFill>
    </fill>
    <fill>
      <patternFill patternType="solid">
        <fgColor rgb="FFBFBFBF"/>
        <bgColor rgb="FFCCCCCC"/>
      </patternFill>
    </fill>
    <fill>
      <patternFill patternType="solid">
        <fgColor theme="0"/>
        <bgColor rgb="FFFFFFCC"/>
      </patternFill>
    </fill>
    <fill>
      <patternFill patternType="solid">
        <fgColor rgb="FF4F81BD"/>
        <bgColor rgb="FF4472C4"/>
      </patternFill>
    </fill>
    <fill>
      <patternFill patternType="solid">
        <fgColor rgb="FFD8D8D8"/>
        <bgColor rgb="FFD9D9D9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CCCCCC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rgb="FFCCCCCC"/>
      </top>
      <bottom style="medium">
        <color auto="1"/>
      </bottom>
      <diagonal/>
    </border>
    <border>
      <left style="medium">
        <color rgb="FFCCCCCC"/>
      </left>
      <right style="medium">
        <color auto="1"/>
      </right>
      <top style="medium">
        <color rgb="FFCCCCCC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</borders>
  <cellStyleXfs count="1">
    <xf numFmtId="0" fontId="0" fillId="0" borderId="0"/>
  </cellStyleXfs>
  <cellXfs count="44">
    <xf numFmtId="0" fontId="0" fillId="0" borderId="0" xfId="0"/>
    <xf numFmtId="167" fontId="1" fillId="0" borderId="1" xfId="0" applyNumberFormat="1" applyFont="1" applyBorder="1" applyAlignment="1">
      <alignment horizontal="right"/>
    </xf>
    <xf numFmtId="167" fontId="1" fillId="0" borderId="3" xfId="0" applyNumberFormat="1" applyFont="1" applyBorder="1" applyAlignment="1">
      <alignment horizontal="right"/>
    </xf>
    <xf numFmtId="164" fontId="2" fillId="0" borderId="1" xfId="0" applyNumberFormat="1" applyFont="1" applyBorder="1" applyAlignment="1">
      <alignment horizontal="right" vertical="center"/>
    </xf>
    <xf numFmtId="164" fontId="1" fillId="0" borderId="1" xfId="0" applyNumberFormat="1" applyFont="1" applyBorder="1" applyAlignment="1">
      <alignment horizontal="right" vertical="center"/>
    </xf>
    <xf numFmtId="0" fontId="3" fillId="0" borderId="0" xfId="0" applyFont="1"/>
    <xf numFmtId="0" fontId="4" fillId="0" borderId="0" xfId="0" applyFont="1"/>
    <xf numFmtId="0" fontId="4" fillId="2" borderId="1" xfId="0" applyFont="1" applyFill="1" applyBorder="1" applyAlignment="1">
      <alignment horizontal="center"/>
    </xf>
    <xf numFmtId="0" fontId="1" fillId="0" borderId="0" xfId="0" applyFont="1"/>
    <xf numFmtId="0" fontId="4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166" fontId="1" fillId="0" borderId="1" xfId="0" applyNumberFormat="1" applyFont="1" applyBorder="1"/>
    <xf numFmtId="0" fontId="6" fillId="0" borderId="0" xfId="0" applyFont="1"/>
    <xf numFmtId="0" fontId="1" fillId="0" borderId="2" xfId="0" applyFont="1" applyBorder="1"/>
    <xf numFmtId="0" fontId="6" fillId="0" borderId="1" xfId="0" applyFont="1" applyBorder="1"/>
    <xf numFmtId="0" fontId="1" fillId="0" borderId="1" xfId="0" applyFont="1" applyBorder="1"/>
    <xf numFmtId="0" fontId="1" fillId="0" borderId="3" xfId="0" applyFont="1" applyBorder="1"/>
    <xf numFmtId="0" fontId="7" fillId="0" borderId="1" xfId="0" applyFont="1" applyBorder="1"/>
    <xf numFmtId="0" fontId="1" fillId="0" borderId="1" xfId="0" applyFont="1" applyBorder="1" applyAlignment="1">
      <alignment horizontal="center"/>
    </xf>
    <xf numFmtId="0" fontId="1" fillId="3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3" fillId="5" borderId="4" xfId="0" applyFont="1" applyFill="1" applyBorder="1" applyAlignment="1">
      <alignment wrapText="1"/>
    </xf>
    <xf numFmtId="0" fontId="1" fillId="0" borderId="5" xfId="0" applyFont="1" applyBorder="1" applyAlignment="1">
      <alignment wrapText="1"/>
    </xf>
    <xf numFmtId="0" fontId="1" fillId="6" borderId="1" xfId="0" applyFont="1" applyFill="1" applyBorder="1" applyAlignment="1">
      <alignment horizontal="center"/>
    </xf>
    <xf numFmtId="0" fontId="3" fillId="7" borderId="6" xfId="0" applyFont="1" applyFill="1" applyBorder="1" applyAlignment="1">
      <alignment wrapText="1"/>
    </xf>
    <xf numFmtId="0" fontId="3" fillId="7" borderId="7" xfId="0" applyFont="1" applyFill="1" applyBorder="1" applyAlignment="1">
      <alignment wrapText="1"/>
    </xf>
    <xf numFmtId="0" fontId="5" fillId="8" borderId="8" xfId="0" applyFont="1" applyFill="1" applyBorder="1"/>
    <xf numFmtId="0" fontId="8" fillId="9" borderId="1" xfId="0" applyFont="1" applyFill="1" applyBorder="1"/>
    <xf numFmtId="166" fontId="1" fillId="0" borderId="2" xfId="0" applyNumberFormat="1" applyFont="1" applyBorder="1" applyAlignment="1">
      <alignment horizontal="right"/>
    </xf>
    <xf numFmtId="166" fontId="1" fillId="0" borderId="3" xfId="0" applyNumberFormat="1" applyFont="1" applyBorder="1"/>
    <xf numFmtId="0" fontId="3" fillId="10" borderId="9" xfId="0" applyFont="1" applyFill="1" applyBorder="1" applyAlignment="1">
      <alignment wrapText="1"/>
    </xf>
    <xf numFmtId="0" fontId="4" fillId="7" borderId="0" xfId="0" applyFont="1" applyFill="1"/>
    <xf numFmtId="0" fontId="4" fillId="7" borderId="1" xfId="0" applyFont="1" applyFill="1" applyBorder="1" applyAlignment="1">
      <alignment horizontal="center"/>
    </xf>
    <xf numFmtId="168" fontId="1" fillId="0" borderId="1" xfId="0" applyNumberFormat="1" applyFont="1" applyBorder="1"/>
    <xf numFmtId="0" fontId="8" fillId="7" borderId="1" xfId="0" applyFont="1" applyFill="1" applyBorder="1"/>
    <xf numFmtId="0" fontId="9" fillId="7" borderId="1" xfId="0" applyFont="1" applyFill="1" applyBorder="1" applyAlignment="1">
      <alignment horizontal="center"/>
    </xf>
    <xf numFmtId="0" fontId="10" fillId="7" borderId="1" xfId="0" applyFont="1" applyFill="1" applyBorder="1" applyAlignment="1">
      <alignment vertical="center"/>
    </xf>
    <xf numFmtId="0" fontId="11" fillId="9" borderId="1" xfId="0" applyFont="1" applyFill="1" applyBorder="1" applyAlignment="1">
      <alignment horizontal="center" vertical="center"/>
    </xf>
    <xf numFmtId="0" fontId="12" fillId="11" borderId="1" xfId="0" applyFont="1" applyFill="1" applyBorder="1" applyAlignment="1">
      <alignment wrapText="1"/>
    </xf>
    <xf numFmtId="169" fontId="12" fillId="9" borderId="1" xfId="0" applyNumberFormat="1" applyFont="1" applyFill="1" applyBorder="1" applyAlignment="1">
      <alignment horizontal="right" wrapText="1"/>
    </xf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8EAADB"/>
      <rgbColor rgb="FF993366"/>
      <rgbColor rgb="FFFFFFCC"/>
      <rgbColor rgb="FFD8D8D8"/>
      <rgbColor rgb="FF660066"/>
      <rgbColor rgb="FFFF8080"/>
      <rgbColor rgb="FF0563C1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99CCFF"/>
      <rgbColor rgb="FFFF99CC"/>
      <rgbColor rgb="FFCC99FF"/>
      <rgbColor rgb="FFFFD966"/>
      <rgbColor rgb="FF4472C4"/>
      <rgbColor rgb="FF33CCCC"/>
      <rgbColor rgb="FF92D05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</xdr:row>
      <xdr:rowOff>142920</xdr:rowOff>
    </xdr:from>
    <xdr:to>
      <xdr:col>4</xdr:col>
      <xdr:colOff>83880</xdr:colOff>
      <xdr:row>29</xdr:row>
      <xdr:rowOff>95040</xdr:rowOff>
    </xdr:to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2028960"/>
          <a:ext cx="4704840" cy="3038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743040</xdr:colOff>
      <xdr:row>12</xdr:row>
      <xdr:rowOff>19080</xdr:rowOff>
    </xdr:from>
    <xdr:to>
      <xdr:col>19</xdr:col>
      <xdr:colOff>153720</xdr:colOff>
      <xdr:row>28</xdr:row>
      <xdr:rowOff>56880</xdr:rowOff>
    </xdr:to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14354280" y="2076480"/>
          <a:ext cx="4352400" cy="2781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257040</xdr:colOff>
      <xdr:row>11</xdr:row>
      <xdr:rowOff>47520</xdr:rowOff>
    </xdr:from>
    <xdr:to>
      <xdr:col>8</xdr:col>
      <xdr:colOff>108720</xdr:colOff>
      <xdr:row>28</xdr:row>
      <xdr:rowOff>113760</xdr:rowOff>
    </xdr:to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4878000" y="1933560"/>
          <a:ext cx="4723920" cy="2980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304920</xdr:colOff>
      <xdr:row>11</xdr:row>
      <xdr:rowOff>9360</xdr:rowOff>
    </xdr:from>
    <xdr:to>
      <xdr:col>13</xdr:col>
      <xdr:colOff>672840</xdr:colOff>
      <xdr:row>27</xdr:row>
      <xdr:rowOff>132840</xdr:rowOff>
    </xdr:to>
    <xdr:pic>
      <xdr:nvPicPr>
        <xdr:cNvPr id="5" name="image3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/>
        <a:stretch/>
      </xdr:blipFill>
      <xdr:spPr>
        <a:xfrm>
          <a:off x="9798120" y="1895400"/>
          <a:ext cx="4485960" cy="28666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cl.talent.com/salary?job=programador+full+stack" TargetMode="External"/><Relationship Id="rId2" Type="http://schemas.openxmlformats.org/officeDocument/2006/relationships/hyperlink" Target="https://cl.talent.com/salary?job=analista+de+procesos" TargetMode="External"/><Relationship Id="rId1" Type="http://schemas.openxmlformats.org/officeDocument/2006/relationships/hyperlink" Target="https://cl.talent.com/salary?job=Jefe+de+proyecto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02"/>
  <sheetViews>
    <sheetView zoomScaleNormal="100" workbookViewId="0">
      <selection activeCell="F10" sqref="F10"/>
    </sheetView>
  </sheetViews>
  <sheetFormatPr baseColWidth="10" defaultColWidth="12.625" defaultRowHeight="15" x14ac:dyDescent="0.25"/>
  <cols>
    <col min="1" max="1" width="10.625" style="8" customWidth="1"/>
    <col min="2" max="2" width="27.75" style="8" customWidth="1"/>
    <col min="3" max="4" width="10.625" style="8" customWidth="1"/>
    <col min="5" max="5" width="20.5" style="8" customWidth="1"/>
    <col min="6" max="6" width="21.125" style="8" customWidth="1"/>
    <col min="7" max="26" width="10.625" style="8" customWidth="1"/>
    <col min="27" max="16384" width="12.625" style="8"/>
  </cols>
  <sheetData>
    <row r="1" spans="1:29" ht="13.5" customHeight="1" x14ac:dyDescent="0.25">
      <c r="A1" s="5">
        <v>1</v>
      </c>
      <c r="B1" s="6"/>
      <c r="C1" s="7" t="s">
        <v>0</v>
      </c>
      <c r="D1" s="7"/>
      <c r="E1" s="6"/>
      <c r="F1" s="6"/>
      <c r="G1" s="6"/>
    </row>
    <row r="2" spans="1:29" ht="13.5" customHeight="1" x14ac:dyDescent="0.25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7</v>
      </c>
    </row>
    <row r="3" spans="1:29" ht="13.5" customHeight="1" x14ac:dyDescent="0.25">
      <c r="A3" s="10" t="s">
        <v>8</v>
      </c>
      <c r="B3" s="10" t="s">
        <v>9</v>
      </c>
      <c r="C3" s="11" t="s">
        <v>10</v>
      </c>
      <c r="D3" s="11"/>
      <c r="E3" s="3">
        <v>1800000</v>
      </c>
      <c r="F3" s="12">
        <f t="shared" ref="F3:F8" si="0">(E3*19/100)+E3</f>
        <v>2142000</v>
      </c>
      <c r="G3" s="13">
        <f t="shared" ref="G3:G8" si="1">F3/160</f>
        <v>13387.5</v>
      </c>
      <c r="I3" s="14" t="s">
        <v>11</v>
      </c>
    </row>
    <row r="4" spans="1:29" ht="13.5" customHeight="1" x14ac:dyDescent="0.25">
      <c r="A4" s="10" t="s">
        <v>12</v>
      </c>
      <c r="B4" s="10" t="s">
        <v>13</v>
      </c>
      <c r="C4" s="11" t="s">
        <v>10</v>
      </c>
      <c r="D4" s="15"/>
      <c r="E4" s="1">
        <v>800000</v>
      </c>
      <c r="F4" s="12">
        <f t="shared" si="0"/>
        <v>952000</v>
      </c>
      <c r="G4" s="13">
        <f t="shared" si="1"/>
        <v>5950</v>
      </c>
      <c r="H4" s="15"/>
      <c r="I4" s="16" t="s">
        <v>14</v>
      </c>
      <c r="J4" s="15"/>
      <c r="K4" s="17"/>
      <c r="L4" s="15"/>
      <c r="M4" s="17"/>
      <c r="N4" s="15"/>
      <c r="O4" s="17"/>
      <c r="P4" s="15"/>
      <c r="Q4" s="17"/>
      <c r="R4" s="15"/>
      <c r="S4" s="17"/>
      <c r="T4" s="15"/>
      <c r="U4" s="17"/>
      <c r="V4" s="15"/>
      <c r="W4" s="17"/>
      <c r="X4" s="15"/>
      <c r="Y4" s="17"/>
      <c r="Z4" s="15"/>
      <c r="AA4" s="17"/>
      <c r="AB4" s="15"/>
      <c r="AC4" s="17"/>
    </row>
    <row r="5" spans="1:29" ht="13.5" customHeight="1" x14ac:dyDescent="0.25">
      <c r="A5" s="10" t="s">
        <v>15</v>
      </c>
      <c r="B5" s="10" t="s">
        <v>16</v>
      </c>
      <c r="C5" s="11" t="s">
        <v>10</v>
      </c>
      <c r="D5" s="18"/>
      <c r="E5" s="2">
        <v>1500000</v>
      </c>
      <c r="F5" s="12">
        <f t="shared" si="0"/>
        <v>1785000</v>
      </c>
      <c r="G5" s="13">
        <f t="shared" si="1"/>
        <v>11156.25</v>
      </c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</row>
    <row r="6" spans="1:29" ht="13.5" customHeight="1" x14ac:dyDescent="0.25">
      <c r="A6" s="10" t="s">
        <v>17</v>
      </c>
      <c r="B6" s="10" t="s">
        <v>18</v>
      </c>
      <c r="C6" s="11" t="s">
        <v>10</v>
      </c>
      <c r="D6" s="11"/>
      <c r="E6" s="4">
        <v>1350000</v>
      </c>
      <c r="F6" s="12">
        <f t="shared" si="0"/>
        <v>1606500</v>
      </c>
      <c r="G6" s="13">
        <f t="shared" si="1"/>
        <v>10040.625</v>
      </c>
      <c r="I6" s="14"/>
    </row>
    <row r="7" spans="1:29" ht="13.5" customHeight="1" x14ac:dyDescent="0.25">
      <c r="A7" s="10" t="s">
        <v>19</v>
      </c>
      <c r="B7" s="10" t="s">
        <v>20</v>
      </c>
      <c r="C7" s="11" t="s">
        <v>10</v>
      </c>
      <c r="D7" s="17"/>
      <c r="E7" s="4">
        <v>1000000</v>
      </c>
      <c r="F7" s="12">
        <f t="shared" si="0"/>
        <v>1190000</v>
      </c>
      <c r="G7" s="13">
        <f t="shared" si="1"/>
        <v>7437.5</v>
      </c>
      <c r="I7" s="14"/>
    </row>
    <row r="8" spans="1:29" ht="13.5" customHeight="1" x14ac:dyDescent="0.25">
      <c r="A8" s="10" t="s">
        <v>21</v>
      </c>
      <c r="B8" s="10" t="s">
        <v>20</v>
      </c>
      <c r="C8" s="11" t="s">
        <v>10</v>
      </c>
      <c r="D8" s="11"/>
      <c r="E8" s="4">
        <v>1300000</v>
      </c>
      <c r="F8" s="12">
        <f t="shared" si="0"/>
        <v>1547000</v>
      </c>
      <c r="G8" s="13">
        <f t="shared" si="1"/>
        <v>9668.75</v>
      </c>
      <c r="I8" s="14" t="s">
        <v>22</v>
      </c>
    </row>
    <row r="9" spans="1:29" ht="13.5" customHeight="1" x14ac:dyDescent="0.25"/>
    <row r="10" spans="1:29" ht="13.5" customHeight="1" x14ac:dyDescent="0.25">
      <c r="A10" s="8" t="s">
        <v>23</v>
      </c>
    </row>
    <row r="11" spans="1:29" ht="13.5" customHeight="1" x14ac:dyDescent="0.25">
      <c r="A11" s="8" t="s">
        <v>24</v>
      </c>
    </row>
    <row r="12" spans="1:29" ht="13.5" customHeight="1" x14ac:dyDescent="0.25">
      <c r="F12" s="8" t="s">
        <v>25</v>
      </c>
    </row>
    <row r="13" spans="1:29" ht="13.5" customHeight="1" x14ac:dyDescent="0.25"/>
    <row r="14" spans="1:29" ht="13.5" customHeight="1" x14ac:dyDescent="0.25"/>
    <row r="15" spans="1:29" ht="13.5" customHeight="1" x14ac:dyDescent="0.25"/>
    <row r="16" spans="1:29" ht="13.5" customHeight="1" x14ac:dyDescent="0.25"/>
    <row r="17" s="8" customFormat="1" ht="13.5" customHeight="1" x14ac:dyDescent="0.25"/>
    <row r="18" s="8" customFormat="1" ht="13.5" customHeight="1" x14ac:dyDescent="0.25"/>
    <row r="19" s="8" customFormat="1" ht="13.5" customHeight="1" x14ac:dyDescent="0.25"/>
    <row r="20" s="8" customFormat="1" ht="13.5" customHeight="1" x14ac:dyDescent="0.25"/>
    <row r="21" s="8" customFormat="1" ht="13.5" customHeight="1" x14ac:dyDescent="0.25"/>
    <row r="22" s="8" customFormat="1" ht="13.5" customHeight="1" x14ac:dyDescent="0.25"/>
    <row r="23" s="8" customFormat="1" ht="13.5" customHeight="1" x14ac:dyDescent="0.25"/>
    <row r="24" s="8" customFormat="1" ht="13.5" customHeight="1" x14ac:dyDescent="0.25"/>
    <row r="25" s="8" customFormat="1" ht="13.5" customHeight="1" x14ac:dyDescent="0.25"/>
    <row r="26" s="8" customFormat="1" ht="13.5" customHeight="1" x14ac:dyDescent="0.25"/>
    <row r="27" s="8" customFormat="1" ht="13.5" customHeight="1" x14ac:dyDescent="0.25"/>
    <row r="28" s="8" customFormat="1" ht="13.5" customHeight="1" x14ac:dyDescent="0.25"/>
    <row r="29" s="8" customFormat="1" ht="13.5" customHeight="1" x14ac:dyDescent="0.25"/>
    <row r="30" s="8" customFormat="1" ht="13.5" customHeight="1" x14ac:dyDescent="0.25"/>
    <row r="31" s="8" customFormat="1" ht="13.5" customHeight="1" x14ac:dyDescent="0.25"/>
    <row r="32" s="8" customFormat="1" ht="13.5" customHeight="1" x14ac:dyDescent="0.25"/>
    <row r="33" s="8" customFormat="1" ht="13.5" customHeight="1" x14ac:dyDescent="0.25"/>
    <row r="34" s="8" customFormat="1" ht="13.5" customHeight="1" x14ac:dyDescent="0.25"/>
    <row r="35" s="8" customFormat="1" ht="13.5" customHeight="1" x14ac:dyDescent="0.25"/>
    <row r="36" s="8" customFormat="1" ht="13.5" customHeight="1" x14ac:dyDescent="0.25"/>
    <row r="37" s="8" customFormat="1" ht="13.5" customHeight="1" x14ac:dyDescent="0.25"/>
    <row r="38" s="8" customFormat="1" ht="13.5" customHeight="1" x14ac:dyDescent="0.25"/>
    <row r="39" s="8" customFormat="1" ht="13.5" customHeight="1" x14ac:dyDescent="0.25"/>
    <row r="40" s="8" customFormat="1" ht="13.5" customHeight="1" x14ac:dyDescent="0.25"/>
    <row r="41" s="8" customFormat="1" ht="13.5" customHeight="1" x14ac:dyDescent="0.25"/>
    <row r="42" s="8" customFormat="1" ht="13.5" customHeight="1" x14ac:dyDescent="0.25"/>
    <row r="43" s="8" customFormat="1" ht="13.5" customHeight="1" x14ac:dyDescent="0.25"/>
    <row r="44" s="8" customFormat="1" ht="13.5" customHeight="1" x14ac:dyDescent="0.25"/>
    <row r="45" s="8" customFormat="1" ht="13.5" customHeight="1" x14ac:dyDescent="0.25"/>
    <row r="46" s="8" customFormat="1" ht="13.5" customHeight="1" x14ac:dyDescent="0.25"/>
    <row r="47" s="8" customFormat="1" ht="13.5" customHeight="1" x14ac:dyDescent="0.25"/>
    <row r="48" s="8" customFormat="1" ht="13.5" customHeight="1" x14ac:dyDescent="0.25"/>
    <row r="49" s="8" customFormat="1" ht="13.5" customHeight="1" x14ac:dyDescent="0.25"/>
    <row r="50" s="8" customFormat="1" ht="13.5" customHeight="1" x14ac:dyDescent="0.25"/>
    <row r="51" s="8" customFormat="1" ht="13.5" customHeight="1" x14ac:dyDescent="0.25"/>
    <row r="52" s="8" customFormat="1" ht="13.5" customHeight="1" x14ac:dyDescent="0.25"/>
    <row r="53" s="8" customFormat="1" ht="13.5" customHeight="1" x14ac:dyDescent="0.25"/>
    <row r="54" s="8" customFormat="1" ht="13.5" customHeight="1" x14ac:dyDescent="0.25"/>
    <row r="55" s="8" customFormat="1" ht="13.5" customHeight="1" x14ac:dyDescent="0.25"/>
    <row r="56" s="8" customFormat="1" ht="13.5" customHeight="1" x14ac:dyDescent="0.25"/>
    <row r="57" s="8" customFormat="1" ht="13.5" customHeight="1" x14ac:dyDescent="0.25"/>
    <row r="58" s="8" customFormat="1" ht="13.5" customHeight="1" x14ac:dyDescent="0.25"/>
    <row r="59" s="8" customFormat="1" ht="13.5" customHeight="1" x14ac:dyDescent="0.25"/>
    <row r="60" s="8" customFormat="1" ht="13.5" customHeight="1" x14ac:dyDescent="0.25"/>
    <row r="61" s="8" customFormat="1" ht="13.5" customHeight="1" x14ac:dyDescent="0.25"/>
    <row r="62" s="8" customFormat="1" ht="13.5" customHeight="1" x14ac:dyDescent="0.25"/>
    <row r="63" s="8" customFormat="1" ht="13.5" customHeight="1" x14ac:dyDescent="0.25"/>
    <row r="64" s="8" customFormat="1" ht="13.5" customHeight="1" x14ac:dyDescent="0.25"/>
    <row r="65" s="8" customFormat="1" ht="13.5" customHeight="1" x14ac:dyDescent="0.25"/>
    <row r="66" s="8" customFormat="1" ht="13.5" customHeight="1" x14ac:dyDescent="0.25"/>
    <row r="67" s="8" customFormat="1" ht="13.5" customHeight="1" x14ac:dyDescent="0.25"/>
    <row r="68" s="8" customFormat="1" ht="13.5" customHeight="1" x14ac:dyDescent="0.25"/>
    <row r="69" s="8" customFormat="1" ht="13.5" customHeight="1" x14ac:dyDescent="0.25"/>
    <row r="70" s="8" customFormat="1" ht="13.5" customHeight="1" x14ac:dyDescent="0.25"/>
    <row r="71" s="8" customFormat="1" ht="13.5" customHeight="1" x14ac:dyDescent="0.25"/>
    <row r="72" s="8" customFormat="1" ht="13.5" customHeight="1" x14ac:dyDescent="0.25"/>
    <row r="73" s="8" customFormat="1" ht="13.5" customHeight="1" x14ac:dyDescent="0.25"/>
    <row r="74" s="8" customFormat="1" ht="13.5" customHeight="1" x14ac:dyDescent="0.25"/>
    <row r="75" s="8" customFormat="1" ht="13.5" customHeight="1" x14ac:dyDescent="0.25"/>
    <row r="76" s="8" customFormat="1" ht="13.5" customHeight="1" x14ac:dyDescent="0.25"/>
    <row r="77" s="8" customFormat="1" ht="13.5" customHeight="1" x14ac:dyDescent="0.25"/>
    <row r="78" s="8" customFormat="1" ht="13.5" customHeight="1" x14ac:dyDescent="0.25"/>
    <row r="79" s="8" customFormat="1" ht="13.5" customHeight="1" x14ac:dyDescent="0.25"/>
    <row r="80" s="8" customFormat="1" ht="13.5" customHeight="1" x14ac:dyDescent="0.25"/>
    <row r="81" s="8" customFormat="1" ht="13.5" customHeight="1" x14ac:dyDescent="0.25"/>
    <row r="82" s="8" customFormat="1" ht="13.5" customHeight="1" x14ac:dyDescent="0.25"/>
    <row r="83" s="8" customFormat="1" ht="13.5" customHeight="1" x14ac:dyDescent="0.25"/>
    <row r="84" s="8" customFormat="1" ht="13.5" customHeight="1" x14ac:dyDescent="0.25"/>
    <row r="85" s="8" customFormat="1" ht="13.5" customHeight="1" x14ac:dyDescent="0.25"/>
    <row r="86" s="8" customFormat="1" ht="13.5" customHeight="1" x14ac:dyDescent="0.25"/>
    <row r="87" s="8" customFormat="1" ht="13.5" customHeight="1" x14ac:dyDescent="0.25"/>
    <row r="88" s="8" customFormat="1" ht="13.5" customHeight="1" x14ac:dyDescent="0.25"/>
    <row r="89" s="8" customFormat="1" ht="13.5" customHeight="1" x14ac:dyDescent="0.25"/>
    <row r="90" s="8" customFormat="1" ht="13.5" customHeight="1" x14ac:dyDescent="0.25"/>
    <row r="91" s="8" customFormat="1" ht="13.5" customHeight="1" x14ac:dyDescent="0.25"/>
    <row r="92" s="8" customFormat="1" ht="13.5" customHeight="1" x14ac:dyDescent="0.25"/>
    <row r="93" s="8" customFormat="1" ht="13.5" customHeight="1" x14ac:dyDescent="0.25"/>
    <row r="94" s="8" customFormat="1" ht="13.5" customHeight="1" x14ac:dyDescent="0.25"/>
    <row r="95" s="8" customFormat="1" ht="13.5" customHeight="1" x14ac:dyDescent="0.25"/>
    <row r="96" s="8" customFormat="1" ht="13.5" customHeight="1" x14ac:dyDescent="0.25"/>
    <row r="97" s="8" customFormat="1" ht="13.5" customHeight="1" x14ac:dyDescent="0.25"/>
    <row r="98" s="8" customFormat="1" ht="13.5" customHeight="1" x14ac:dyDescent="0.25"/>
    <row r="99" s="8" customFormat="1" ht="13.5" customHeight="1" x14ac:dyDescent="0.25"/>
    <row r="100" s="8" customFormat="1" ht="13.5" customHeight="1" x14ac:dyDescent="0.25"/>
    <row r="101" s="8" customFormat="1" ht="13.5" customHeight="1" x14ac:dyDescent="0.25"/>
    <row r="102" s="8" customFormat="1" ht="13.5" customHeight="1" x14ac:dyDescent="0.25"/>
    <row r="103" s="8" customFormat="1" ht="13.5" customHeight="1" x14ac:dyDescent="0.25"/>
    <row r="104" s="8" customFormat="1" ht="13.5" customHeight="1" x14ac:dyDescent="0.25"/>
    <row r="105" s="8" customFormat="1" ht="13.5" customHeight="1" x14ac:dyDescent="0.25"/>
    <row r="106" s="8" customFormat="1" ht="13.5" customHeight="1" x14ac:dyDescent="0.25"/>
    <row r="107" s="8" customFormat="1" ht="13.5" customHeight="1" x14ac:dyDescent="0.25"/>
    <row r="108" s="8" customFormat="1" ht="13.5" customHeight="1" x14ac:dyDescent="0.25"/>
    <row r="109" s="8" customFormat="1" ht="13.5" customHeight="1" x14ac:dyDescent="0.25"/>
    <row r="110" s="8" customFormat="1" ht="13.5" customHeight="1" x14ac:dyDescent="0.25"/>
    <row r="111" s="8" customFormat="1" ht="13.5" customHeight="1" x14ac:dyDescent="0.25"/>
    <row r="112" s="8" customFormat="1" ht="13.5" customHeight="1" x14ac:dyDescent="0.25"/>
    <row r="113" s="8" customFormat="1" ht="13.5" customHeight="1" x14ac:dyDescent="0.25"/>
    <row r="114" s="8" customFormat="1" ht="13.5" customHeight="1" x14ac:dyDescent="0.25"/>
    <row r="115" s="8" customFormat="1" ht="13.5" customHeight="1" x14ac:dyDescent="0.25"/>
    <row r="116" s="8" customFormat="1" ht="13.5" customHeight="1" x14ac:dyDescent="0.25"/>
    <row r="117" s="8" customFormat="1" ht="13.5" customHeight="1" x14ac:dyDescent="0.25"/>
    <row r="118" s="8" customFormat="1" ht="13.5" customHeight="1" x14ac:dyDescent="0.25"/>
    <row r="119" s="8" customFormat="1" ht="13.5" customHeight="1" x14ac:dyDescent="0.25"/>
    <row r="120" s="8" customFormat="1" ht="13.5" customHeight="1" x14ac:dyDescent="0.25"/>
    <row r="121" s="8" customFormat="1" ht="13.5" customHeight="1" x14ac:dyDescent="0.25"/>
    <row r="122" s="8" customFormat="1" ht="13.5" customHeight="1" x14ac:dyDescent="0.25"/>
    <row r="123" s="8" customFormat="1" ht="13.5" customHeight="1" x14ac:dyDescent="0.25"/>
    <row r="124" s="8" customFormat="1" ht="13.5" customHeight="1" x14ac:dyDescent="0.25"/>
    <row r="125" s="8" customFormat="1" ht="13.5" customHeight="1" x14ac:dyDescent="0.25"/>
    <row r="126" s="8" customFormat="1" ht="13.5" customHeight="1" x14ac:dyDescent="0.25"/>
    <row r="127" s="8" customFormat="1" ht="13.5" customHeight="1" x14ac:dyDescent="0.25"/>
    <row r="128" s="8" customFormat="1" ht="13.5" customHeight="1" x14ac:dyDescent="0.25"/>
    <row r="129" s="8" customFormat="1" ht="13.5" customHeight="1" x14ac:dyDescent="0.25"/>
    <row r="130" s="8" customFormat="1" ht="13.5" customHeight="1" x14ac:dyDescent="0.25"/>
    <row r="131" s="8" customFormat="1" ht="13.5" customHeight="1" x14ac:dyDescent="0.25"/>
    <row r="132" s="8" customFormat="1" ht="13.5" customHeight="1" x14ac:dyDescent="0.25"/>
    <row r="133" s="8" customFormat="1" ht="13.5" customHeight="1" x14ac:dyDescent="0.25"/>
    <row r="134" s="8" customFormat="1" ht="13.5" customHeight="1" x14ac:dyDescent="0.25"/>
    <row r="135" s="8" customFormat="1" ht="13.5" customHeight="1" x14ac:dyDescent="0.25"/>
    <row r="136" s="8" customFormat="1" ht="13.5" customHeight="1" x14ac:dyDescent="0.25"/>
    <row r="137" s="8" customFormat="1" ht="13.5" customHeight="1" x14ac:dyDescent="0.25"/>
    <row r="138" s="8" customFormat="1" ht="13.5" customHeight="1" x14ac:dyDescent="0.25"/>
    <row r="139" s="8" customFormat="1" ht="13.5" customHeight="1" x14ac:dyDescent="0.25"/>
    <row r="140" s="8" customFormat="1" ht="13.5" customHeight="1" x14ac:dyDescent="0.25"/>
    <row r="141" s="8" customFormat="1" ht="13.5" customHeight="1" x14ac:dyDescent="0.25"/>
    <row r="142" s="8" customFormat="1" ht="13.5" customHeight="1" x14ac:dyDescent="0.25"/>
    <row r="143" s="8" customFormat="1" ht="13.5" customHeight="1" x14ac:dyDescent="0.25"/>
    <row r="144" s="8" customFormat="1" ht="13.5" customHeight="1" x14ac:dyDescent="0.25"/>
    <row r="145" s="8" customFormat="1" ht="13.5" customHeight="1" x14ac:dyDescent="0.25"/>
    <row r="146" s="8" customFormat="1" ht="13.5" customHeight="1" x14ac:dyDescent="0.25"/>
    <row r="147" s="8" customFormat="1" ht="13.5" customHeight="1" x14ac:dyDescent="0.25"/>
    <row r="148" s="8" customFormat="1" ht="13.5" customHeight="1" x14ac:dyDescent="0.25"/>
    <row r="149" s="8" customFormat="1" ht="13.5" customHeight="1" x14ac:dyDescent="0.25"/>
    <row r="150" s="8" customFormat="1" ht="13.5" customHeight="1" x14ac:dyDescent="0.25"/>
    <row r="151" s="8" customFormat="1" ht="13.5" customHeight="1" x14ac:dyDescent="0.25"/>
    <row r="152" s="8" customFormat="1" ht="13.5" customHeight="1" x14ac:dyDescent="0.25"/>
    <row r="153" s="8" customFormat="1" ht="13.5" customHeight="1" x14ac:dyDescent="0.25"/>
    <row r="154" s="8" customFormat="1" ht="13.5" customHeight="1" x14ac:dyDescent="0.25"/>
    <row r="155" s="8" customFormat="1" ht="13.5" customHeight="1" x14ac:dyDescent="0.25"/>
    <row r="156" s="8" customFormat="1" ht="13.5" customHeight="1" x14ac:dyDescent="0.25"/>
    <row r="157" s="8" customFormat="1" ht="13.5" customHeight="1" x14ac:dyDescent="0.25"/>
    <row r="158" s="8" customFormat="1" ht="13.5" customHeight="1" x14ac:dyDescent="0.25"/>
    <row r="159" s="8" customFormat="1" ht="13.5" customHeight="1" x14ac:dyDescent="0.25"/>
    <row r="160" s="8" customFormat="1" ht="13.5" customHeight="1" x14ac:dyDescent="0.25"/>
    <row r="161" s="8" customFormat="1" ht="13.5" customHeight="1" x14ac:dyDescent="0.25"/>
    <row r="162" s="8" customFormat="1" ht="13.5" customHeight="1" x14ac:dyDescent="0.25"/>
    <row r="163" s="8" customFormat="1" ht="13.5" customHeight="1" x14ac:dyDescent="0.25"/>
    <row r="164" s="8" customFormat="1" ht="13.5" customHeight="1" x14ac:dyDescent="0.25"/>
    <row r="165" s="8" customFormat="1" ht="13.5" customHeight="1" x14ac:dyDescent="0.25"/>
    <row r="166" s="8" customFormat="1" ht="13.5" customHeight="1" x14ac:dyDescent="0.25"/>
    <row r="167" s="8" customFormat="1" ht="13.5" customHeight="1" x14ac:dyDescent="0.25"/>
    <row r="168" s="8" customFormat="1" ht="13.5" customHeight="1" x14ac:dyDescent="0.25"/>
    <row r="169" s="8" customFormat="1" ht="13.5" customHeight="1" x14ac:dyDescent="0.25"/>
    <row r="170" s="8" customFormat="1" ht="13.5" customHeight="1" x14ac:dyDescent="0.25"/>
    <row r="171" s="8" customFormat="1" ht="13.5" customHeight="1" x14ac:dyDescent="0.25"/>
    <row r="172" s="8" customFormat="1" ht="13.5" customHeight="1" x14ac:dyDescent="0.25"/>
    <row r="173" s="8" customFormat="1" ht="13.5" customHeight="1" x14ac:dyDescent="0.25"/>
    <row r="174" s="8" customFormat="1" ht="13.5" customHeight="1" x14ac:dyDescent="0.25"/>
    <row r="175" s="8" customFormat="1" ht="13.5" customHeight="1" x14ac:dyDescent="0.25"/>
    <row r="176" s="8" customFormat="1" ht="13.5" customHeight="1" x14ac:dyDescent="0.25"/>
    <row r="177" s="8" customFormat="1" ht="13.5" customHeight="1" x14ac:dyDescent="0.25"/>
    <row r="178" s="8" customFormat="1" ht="13.5" customHeight="1" x14ac:dyDescent="0.25"/>
    <row r="179" s="8" customFormat="1" ht="13.5" customHeight="1" x14ac:dyDescent="0.25"/>
    <row r="180" s="8" customFormat="1" ht="13.5" customHeight="1" x14ac:dyDescent="0.25"/>
    <row r="181" s="8" customFormat="1" ht="13.5" customHeight="1" x14ac:dyDescent="0.25"/>
    <row r="182" s="8" customFormat="1" ht="13.5" customHeight="1" x14ac:dyDescent="0.25"/>
    <row r="183" s="8" customFormat="1" ht="13.5" customHeight="1" x14ac:dyDescent="0.25"/>
    <row r="184" s="8" customFormat="1" ht="13.5" customHeight="1" x14ac:dyDescent="0.25"/>
    <row r="185" s="8" customFormat="1" ht="13.5" customHeight="1" x14ac:dyDescent="0.25"/>
    <row r="186" s="8" customFormat="1" ht="13.5" customHeight="1" x14ac:dyDescent="0.25"/>
    <row r="187" s="8" customFormat="1" ht="13.5" customHeight="1" x14ac:dyDescent="0.25"/>
    <row r="188" s="8" customFormat="1" ht="13.5" customHeight="1" x14ac:dyDescent="0.25"/>
    <row r="189" s="8" customFormat="1" ht="13.5" customHeight="1" x14ac:dyDescent="0.25"/>
    <row r="190" s="8" customFormat="1" ht="13.5" customHeight="1" x14ac:dyDescent="0.25"/>
    <row r="191" s="8" customFormat="1" ht="13.5" customHeight="1" x14ac:dyDescent="0.25"/>
    <row r="192" s="8" customFormat="1" ht="13.5" customHeight="1" x14ac:dyDescent="0.25"/>
    <row r="193" s="8" customFormat="1" ht="13.5" customHeight="1" x14ac:dyDescent="0.25"/>
    <row r="194" s="8" customFormat="1" ht="13.5" customHeight="1" x14ac:dyDescent="0.25"/>
    <row r="195" s="8" customFormat="1" ht="13.5" customHeight="1" x14ac:dyDescent="0.25"/>
    <row r="196" s="8" customFormat="1" ht="13.5" customHeight="1" x14ac:dyDescent="0.25"/>
    <row r="197" s="8" customFormat="1" ht="13.5" customHeight="1" x14ac:dyDescent="0.25"/>
    <row r="198" s="8" customFormat="1" ht="13.5" customHeight="1" x14ac:dyDescent="0.25"/>
    <row r="199" s="8" customFormat="1" ht="13.5" customHeight="1" x14ac:dyDescent="0.25"/>
    <row r="200" s="8" customFormat="1" ht="13.5" customHeight="1" x14ac:dyDescent="0.25"/>
    <row r="201" s="8" customFormat="1" ht="13.5" customHeight="1" x14ac:dyDescent="0.25"/>
    <row r="202" s="8" customFormat="1" ht="13.5" customHeight="1" x14ac:dyDescent="0.25"/>
    <row r="203" s="8" customFormat="1" ht="13.5" customHeight="1" x14ac:dyDescent="0.25"/>
    <row r="204" s="8" customFormat="1" ht="13.5" customHeight="1" x14ac:dyDescent="0.25"/>
    <row r="205" s="8" customFormat="1" ht="13.5" customHeight="1" x14ac:dyDescent="0.25"/>
    <row r="206" s="8" customFormat="1" ht="13.5" customHeight="1" x14ac:dyDescent="0.25"/>
    <row r="207" s="8" customFormat="1" ht="13.5" customHeight="1" x14ac:dyDescent="0.25"/>
    <row r="208" s="8" customFormat="1" ht="13.5" customHeight="1" x14ac:dyDescent="0.25"/>
    <row r="209" s="8" customFormat="1" ht="13.5" customHeight="1" x14ac:dyDescent="0.25"/>
    <row r="210" s="8" customFormat="1" ht="13.5" customHeight="1" x14ac:dyDescent="0.25"/>
    <row r="211" s="8" customFormat="1" ht="13.5" customHeight="1" x14ac:dyDescent="0.25"/>
    <row r="212" s="8" customFormat="1" ht="13.5" customHeight="1" x14ac:dyDescent="0.25"/>
    <row r="213" s="8" customFormat="1" ht="13.5" customHeight="1" x14ac:dyDescent="0.25"/>
    <row r="214" s="8" customFormat="1" ht="13.5" customHeight="1" x14ac:dyDescent="0.25"/>
    <row r="215" s="8" customFormat="1" ht="13.5" customHeight="1" x14ac:dyDescent="0.25"/>
    <row r="216" s="8" customFormat="1" ht="13.5" customHeight="1" x14ac:dyDescent="0.25"/>
    <row r="217" s="8" customFormat="1" ht="13.5" customHeight="1" x14ac:dyDescent="0.25"/>
    <row r="218" s="8" customFormat="1" ht="13.5" customHeight="1" x14ac:dyDescent="0.25"/>
    <row r="219" s="8" customFormat="1" ht="13.5" customHeight="1" x14ac:dyDescent="0.25"/>
    <row r="220" s="8" customFormat="1" ht="13.5" customHeight="1" x14ac:dyDescent="0.25"/>
    <row r="221" s="8" customFormat="1" ht="13.5" customHeight="1" x14ac:dyDescent="0.25"/>
    <row r="222" s="8" customFormat="1" ht="13.5" customHeight="1" x14ac:dyDescent="0.25"/>
    <row r="223" s="8" customFormat="1" ht="13.5" customHeight="1" x14ac:dyDescent="0.25"/>
    <row r="224" s="8" customFormat="1" ht="13.5" customHeight="1" x14ac:dyDescent="0.25"/>
    <row r="225" s="8" customFormat="1" ht="13.5" customHeight="1" x14ac:dyDescent="0.25"/>
    <row r="226" s="8" customFormat="1" ht="13.5" customHeight="1" x14ac:dyDescent="0.25"/>
    <row r="227" s="8" customFormat="1" ht="13.5" customHeight="1" x14ac:dyDescent="0.25"/>
    <row r="228" s="8" customFormat="1" ht="13.5" customHeight="1" x14ac:dyDescent="0.25"/>
    <row r="229" s="8" customFormat="1" ht="13.5" customHeight="1" x14ac:dyDescent="0.25"/>
    <row r="230" s="8" customFormat="1" ht="13.5" customHeight="1" x14ac:dyDescent="0.25"/>
    <row r="231" s="8" customFormat="1" ht="13.5" customHeight="1" x14ac:dyDescent="0.25"/>
    <row r="232" s="8" customFormat="1" ht="13.5" customHeight="1" x14ac:dyDescent="0.25"/>
    <row r="233" s="8" customFormat="1" ht="13.5" customHeight="1" x14ac:dyDescent="0.25"/>
    <row r="234" s="8" customFormat="1" ht="13.5" customHeight="1" x14ac:dyDescent="0.25"/>
    <row r="235" s="8" customFormat="1" ht="13.5" customHeight="1" x14ac:dyDescent="0.25"/>
    <row r="236" s="8" customFormat="1" ht="13.5" customHeight="1" x14ac:dyDescent="0.25"/>
    <row r="237" s="8" customFormat="1" ht="13.5" customHeight="1" x14ac:dyDescent="0.25"/>
    <row r="238" s="8" customFormat="1" ht="13.5" customHeight="1" x14ac:dyDescent="0.25"/>
    <row r="239" s="8" customFormat="1" ht="13.5" customHeight="1" x14ac:dyDescent="0.25"/>
    <row r="240" s="8" customFormat="1" ht="13.5" customHeight="1" x14ac:dyDescent="0.25"/>
    <row r="241" s="8" customFormat="1" ht="13.5" customHeight="1" x14ac:dyDescent="0.25"/>
    <row r="242" s="8" customFormat="1" ht="13.5" customHeight="1" x14ac:dyDescent="0.25"/>
    <row r="243" s="8" customFormat="1" ht="13.5" customHeight="1" x14ac:dyDescent="0.25"/>
    <row r="244" s="8" customFormat="1" ht="13.5" customHeight="1" x14ac:dyDescent="0.25"/>
    <row r="245" s="8" customFormat="1" ht="13.5" customHeight="1" x14ac:dyDescent="0.25"/>
    <row r="246" s="8" customFormat="1" ht="13.5" customHeight="1" x14ac:dyDescent="0.25"/>
    <row r="247" s="8" customFormat="1" ht="13.5" customHeight="1" x14ac:dyDescent="0.25"/>
    <row r="248" s="8" customFormat="1" ht="13.5" customHeight="1" x14ac:dyDescent="0.25"/>
    <row r="249" s="8" customFormat="1" ht="13.5" customHeight="1" x14ac:dyDescent="0.25"/>
    <row r="250" s="8" customFormat="1" ht="13.5" customHeight="1" x14ac:dyDescent="0.25"/>
    <row r="251" s="8" customFormat="1" ht="13.5" customHeight="1" x14ac:dyDescent="0.25"/>
    <row r="252" s="8" customFormat="1" ht="13.5" customHeight="1" x14ac:dyDescent="0.25"/>
    <row r="253" s="8" customFormat="1" ht="13.5" customHeight="1" x14ac:dyDescent="0.25"/>
    <row r="254" s="8" customFormat="1" ht="13.5" customHeight="1" x14ac:dyDescent="0.25"/>
    <row r="255" s="8" customFormat="1" ht="13.5" customHeight="1" x14ac:dyDescent="0.25"/>
    <row r="256" s="8" customFormat="1" ht="13.5" customHeight="1" x14ac:dyDescent="0.25"/>
    <row r="257" s="8" customFormat="1" ht="13.5" customHeight="1" x14ac:dyDescent="0.25"/>
    <row r="258" s="8" customFormat="1" ht="13.5" customHeight="1" x14ac:dyDescent="0.25"/>
    <row r="259" s="8" customFormat="1" ht="13.5" customHeight="1" x14ac:dyDescent="0.25"/>
    <row r="260" s="8" customFormat="1" ht="13.5" customHeight="1" x14ac:dyDescent="0.25"/>
    <row r="261" s="8" customFormat="1" ht="13.5" customHeight="1" x14ac:dyDescent="0.25"/>
    <row r="262" s="8" customFormat="1" ht="13.5" customHeight="1" x14ac:dyDescent="0.25"/>
    <row r="263" s="8" customFormat="1" ht="13.5" customHeight="1" x14ac:dyDescent="0.25"/>
    <row r="264" s="8" customFormat="1" ht="13.5" customHeight="1" x14ac:dyDescent="0.25"/>
    <row r="265" s="8" customFormat="1" ht="13.5" customHeight="1" x14ac:dyDescent="0.25"/>
    <row r="266" s="8" customFormat="1" ht="13.5" customHeight="1" x14ac:dyDescent="0.25"/>
    <row r="267" s="8" customFormat="1" ht="13.5" customHeight="1" x14ac:dyDescent="0.25"/>
    <row r="268" s="8" customFormat="1" ht="13.5" customHeight="1" x14ac:dyDescent="0.25"/>
    <row r="269" s="8" customFormat="1" ht="13.5" customHeight="1" x14ac:dyDescent="0.25"/>
    <row r="270" s="8" customFormat="1" ht="13.5" customHeight="1" x14ac:dyDescent="0.25"/>
    <row r="271" s="8" customFormat="1" ht="13.5" customHeight="1" x14ac:dyDescent="0.25"/>
    <row r="272" s="8" customFormat="1" ht="13.5" customHeight="1" x14ac:dyDescent="0.25"/>
    <row r="273" s="8" customFormat="1" ht="13.5" customHeight="1" x14ac:dyDescent="0.25"/>
    <row r="274" s="8" customFormat="1" ht="13.5" customHeight="1" x14ac:dyDescent="0.25"/>
    <row r="275" s="8" customFormat="1" ht="13.5" customHeight="1" x14ac:dyDescent="0.25"/>
    <row r="276" s="8" customFormat="1" ht="13.5" customHeight="1" x14ac:dyDescent="0.25"/>
    <row r="277" s="8" customFormat="1" ht="13.5" customHeight="1" x14ac:dyDescent="0.25"/>
    <row r="278" s="8" customFormat="1" ht="13.5" customHeight="1" x14ac:dyDescent="0.25"/>
    <row r="279" s="8" customFormat="1" ht="13.5" customHeight="1" x14ac:dyDescent="0.25"/>
    <row r="280" s="8" customFormat="1" ht="13.5" customHeight="1" x14ac:dyDescent="0.25"/>
    <row r="281" s="8" customFormat="1" ht="13.5" customHeight="1" x14ac:dyDescent="0.25"/>
    <row r="282" s="8" customFormat="1" ht="13.5" customHeight="1" x14ac:dyDescent="0.25"/>
    <row r="283" s="8" customFormat="1" ht="13.5" customHeight="1" x14ac:dyDescent="0.25"/>
    <row r="284" s="8" customFormat="1" ht="13.5" customHeight="1" x14ac:dyDescent="0.25"/>
    <row r="285" s="8" customFormat="1" ht="13.5" customHeight="1" x14ac:dyDescent="0.25"/>
    <row r="286" s="8" customFormat="1" ht="13.5" customHeight="1" x14ac:dyDescent="0.25"/>
    <row r="287" s="8" customFormat="1" ht="13.5" customHeight="1" x14ac:dyDescent="0.25"/>
    <row r="288" s="8" customFormat="1" ht="13.5" customHeight="1" x14ac:dyDescent="0.25"/>
    <row r="289" s="8" customFormat="1" ht="13.5" customHeight="1" x14ac:dyDescent="0.25"/>
    <row r="290" s="8" customFormat="1" ht="13.5" customHeight="1" x14ac:dyDescent="0.25"/>
    <row r="291" s="8" customFormat="1" ht="13.5" customHeight="1" x14ac:dyDescent="0.25"/>
    <row r="292" s="8" customFormat="1" ht="13.5" customHeight="1" x14ac:dyDescent="0.25"/>
    <row r="293" s="8" customFormat="1" ht="13.5" customHeight="1" x14ac:dyDescent="0.25"/>
    <row r="294" s="8" customFormat="1" ht="13.5" customHeight="1" x14ac:dyDescent="0.25"/>
    <row r="295" s="8" customFormat="1" ht="13.5" customHeight="1" x14ac:dyDescent="0.25"/>
    <row r="296" s="8" customFormat="1" ht="13.5" customHeight="1" x14ac:dyDescent="0.25"/>
    <row r="297" s="8" customFormat="1" ht="13.5" customHeight="1" x14ac:dyDescent="0.25"/>
    <row r="298" s="8" customFormat="1" ht="13.5" customHeight="1" x14ac:dyDescent="0.25"/>
    <row r="299" s="8" customFormat="1" ht="13.5" customHeight="1" x14ac:dyDescent="0.25"/>
    <row r="300" s="8" customFormat="1" ht="13.5" customHeight="1" x14ac:dyDescent="0.25"/>
    <row r="301" s="8" customFormat="1" ht="13.5" customHeight="1" x14ac:dyDescent="0.25"/>
    <row r="302" s="8" customFormat="1" ht="13.5" customHeight="1" x14ac:dyDescent="0.25"/>
    <row r="303" s="8" customFormat="1" ht="13.5" customHeight="1" x14ac:dyDescent="0.25"/>
    <row r="304" s="8" customFormat="1" ht="13.5" customHeight="1" x14ac:dyDescent="0.25"/>
    <row r="305" s="8" customFormat="1" ht="13.5" customHeight="1" x14ac:dyDescent="0.25"/>
    <row r="306" s="8" customFormat="1" ht="13.5" customHeight="1" x14ac:dyDescent="0.25"/>
    <row r="307" s="8" customFormat="1" ht="13.5" customHeight="1" x14ac:dyDescent="0.25"/>
    <row r="308" s="8" customFormat="1" ht="13.5" customHeight="1" x14ac:dyDescent="0.25"/>
    <row r="309" s="8" customFormat="1" ht="13.5" customHeight="1" x14ac:dyDescent="0.25"/>
    <row r="310" s="8" customFormat="1" ht="13.5" customHeight="1" x14ac:dyDescent="0.25"/>
    <row r="311" s="8" customFormat="1" ht="13.5" customHeight="1" x14ac:dyDescent="0.25"/>
    <row r="312" s="8" customFormat="1" ht="13.5" customHeight="1" x14ac:dyDescent="0.25"/>
    <row r="313" s="8" customFormat="1" ht="13.5" customHeight="1" x14ac:dyDescent="0.25"/>
    <row r="314" s="8" customFormat="1" ht="13.5" customHeight="1" x14ac:dyDescent="0.25"/>
    <row r="315" s="8" customFormat="1" ht="13.5" customHeight="1" x14ac:dyDescent="0.25"/>
    <row r="316" s="8" customFormat="1" ht="13.5" customHeight="1" x14ac:dyDescent="0.25"/>
    <row r="317" s="8" customFormat="1" ht="13.5" customHeight="1" x14ac:dyDescent="0.25"/>
    <row r="318" s="8" customFormat="1" ht="13.5" customHeight="1" x14ac:dyDescent="0.25"/>
    <row r="319" s="8" customFormat="1" ht="13.5" customHeight="1" x14ac:dyDescent="0.25"/>
    <row r="320" s="8" customFormat="1" ht="13.5" customHeight="1" x14ac:dyDescent="0.25"/>
    <row r="321" s="8" customFormat="1" ht="13.5" customHeight="1" x14ac:dyDescent="0.25"/>
    <row r="322" s="8" customFormat="1" ht="13.5" customHeight="1" x14ac:dyDescent="0.25"/>
    <row r="323" s="8" customFormat="1" ht="13.5" customHeight="1" x14ac:dyDescent="0.25"/>
    <row r="324" s="8" customFormat="1" ht="13.5" customHeight="1" x14ac:dyDescent="0.25"/>
    <row r="325" s="8" customFormat="1" ht="13.5" customHeight="1" x14ac:dyDescent="0.25"/>
    <row r="326" s="8" customFormat="1" ht="13.5" customHeight="1" x14ac:dyDescent="0.25"/>
    <row r="327" s="8" customFormat="1" ht="13.5" customHeight="1" x14ac:dyDescent="0.25"/>
    <row r="328" s="8" customFormat="1" ht="13.5" customHeight="1" x14ac:dyDescent="0.25"/>
    <row r="329" s="8" customFormat="1" ht="13.5" customHeight="1" x14ac:dyDescent="0.25"/>
    <row r="330" s="8" customFormat="1" ht="13.5" customHeight="1" x14ac:dyDescent="0.25"/>
    <row r="331" s="8" customFormat="1" ht="13.5" customHeight="1" x14ac:dyDescent="0.25"/>
    <row r="332" s="8" customFormat="1" ht="13.5" customHeight="1" x14ac:dyDescent="0.25"/>
    <row r="333" s="8" customFormat="1" ht="13.5" customHeight="1" x14ac:dyDescent="0.25"/>
    <row r="334" s="8" customFormat="1" ht="13.5" customHeight="1" x14ac:dyDescent="0.25"/>
    <row r="335" s="8" customFormat="1" ht="13.5" customHeight="1" x14ac:dyDescent="0.25"/>
    <row r="336" s="8" customFormat="1" ht="13.5" customHeight="1" x14ac:dyDescent="0.25"/>
    <row r="337" s="8" customFormat="1" ht="13.5" customHeight="1" x14ac:dyDescent="0.25"/>
    <row r="338" s="8" customFormat="1" ht="13.5" customHeight="1" x14ac:dyDescent="0.25"/>
    <row r="339" s="8" customFormat="1" ht="13.5" customHeight="1" x14ac:dyDescent="0.25"/>
    <row r="340" s="8" customFormat="1" ht="13.5" customHeight="1" x14ac:dyDescent="0.25"/>
    <row r="341" s="8" customFormat="1" ht="13.5" customHeight="1" x14ac:dyDescent="0.25"/>
    <row r="342" s="8" customFormat="1" ht="13.5" customHeight="1" x14ac:dyDescent="0.25"/>
    <row r="343" s="8" customFormat="1" ht="13.5" customHeight="1" x14ac:dyDescent="0.25"/>
    <row r="344" s="8" customFormat="1" ht="13.5" customHeight="1" x14ac:dyDescent="0.25"/>
    <row r="345" s="8" customFormat="1" ht="13.5" customHeight="1" x14ac:dyDescent="0.25"/>
    <row r="346" s="8" customFormat="1" ht="13.5" customHeight="1" x14ac:dyDescent="0.25"/>
    <row r="347" s="8" customFormat="1" ht="13.5" customHeight="1" x14ac:dyDescent="0.25"/>
    <row r="348" s="8" customFormat="1" ht="13.5" customHeight="1" x14ac:dyDescent="0.25"/>
    <row r="349" s="8" customFormat="1" ht="13.5" customHeight="1" x14ac:dyDescent="0.25"/>
    <row r="350" s="8" customFormat="1" ht="13.5" customHeight="1" x14ac:dyDescent="0.25"/>
    <row r="351" s="8" customFormat="1" ht="13.5" customHeight="1" x14ac:dyDescent="0.25"/>
    <row r="352" s="8" customFormat="1" ht="13.5" customHeight="1" x14ac:dyDescent="0.25"/>
    <row r="353" s="8" customFormat="1" ht="13.5" customHeight="1" x14ac:dyDescent="0.25"/>
    <row r="354" s="8" customFormat="1" ht="13.5" customHeight="1" x14ac:dyDescent="0.25"/>
    <row r="355" s="8" customFormat="1" ht="13.5" customHeight="1" x14ac:dyDescent="0.25"/>
    <row r="356" s="8" customFormat="1" ht="13.5" customHeight="1" x14ac:dyDescent="0.25"/>
    <row r="357" s="8" customFormat="1" ht="13.5" customHeight="1" x14ac:dyDescent="0.25"/>
    <row r="358" s="8" customFormat="1" ht="13.5" customHeight="1" x14ac:dyDescent="0.25"/>
    <row r="359" s="8" customFormat="1" ht="13.5" customHeight="1" x14ac:dyDescent="0.25"/>
    <row r="360" s="8" customFormat="1" ht="13.5" customHeight="1" x14ac:dyDescent="0.25"/>
    <row r="361" s="8" customFormat="1" ht="13.5" customHeight="1" x14ac:dyDescent="0.25"/>
    <row r="362" s="8" customFormat="1" ht="13.5" customHeight="1" x14ac:dyDescent="0.25"/>
    <row r="363" s="8" customFormat="1" ht="13.5" customHeight="1" x14ac:dyDescent="0.25"/>
    <row r="364" s="8" customFormat="1" ht="13.5" customHeight="1" x14ac:dyDescent="0.25"/>
    <row r="365" s="8" customFormat="1" ht="13.5" customHeight="1" x14ac:dyDescent="0.25"/>
    <row r="366" s="8" customFormat="1" ht="13.5" customHeight="1" x14ac:dyDescent="0.25"/>
    <row r="367" s="8" customFormat="1" ht="13.5" customHeight="1" x14ac:dyDescent="0.25"/>
    <row r="368" s="8" customFormat="1" ht="13.5" customHeight="1" x14ac:dyDescent="0.25"/>
    <row r="369" s="8" customFormat="1" ht="13.5" customHeight="1" x14ac:dyDescent="0.25"/>
    <row r="370" s="8" customFormat="1" ht="13.5" customHeight="1" x14ac:dyDescent="0.25"/>
    <row r="371" s="8" customFormat="1" ht="13.5" customHeight="1" x14ac:dyDescent="0.25"/>
    <row r="372" s="8" customFormat="1" ht="13.5" customHeight="1" x14ac:dyDescent="0.25"/>
    <row r="373" s="8" customFormat="1" ht="13.5" customHeight="1" x14ac:dyDescent="0.25"/>
    <row r="374" s="8" customFormat="1" ht="13.5" customHeight="1" x14ac:dyDescent="0.25"/>
    <row r="375" s="8" customFormat="1" ht="13.5" customHeight="1" x14ac:dyDescent="0.25"/>
    <row r="376" s="8" customFormat="1" ht="13.5" customHeight="1" x14ac:dyDescent="0.25"/>
    <row r="377" s="8" customFormat="1" ht="13.5" customHeight="1" x14ac:dyDescent="0.25"/>
    <row r="378" s="8" customFormat="1" ht="13.5" customHeight="1" x14ac:dyDescent="0.25"/>
    <row r="379" s="8" customFormat="1" ht="13.5" customHeight="1" x14ac:dyDescent="0.25"/>
    <row r="380" s="8" customFormat="1" ht="13.5" customHeight="1" x14ac:dyDescent="0.25"/>
    <row r="381" s="8" customFormat="1" ht="13.5" customHeight="1" x14ac:dyDescent="0.25"/>
    <row r="382" s="8" customFormat="1" ht="13.5" customHeight="1" x14ac:dyDescent="0.25"/>
    <row r="383" s="8" customFormat="1" ht="13.5" customHeight="1" x14ac:dyDescent="0.25"/>
    <row r="384" s="8" customFormat="1" ht="13.5" customHeight="1" x14ac:dyDescent="0.25"/>
    <row r="385" s="8" customFormat="1" ht="13.5" customHeight="1" x14ac:dyDescent="0.25"/>
    <row r="386" s="8" customFormat="1" ht="13.5" customHeight="1" x14ac:dyDescent="0.25"/>
    <row r="387" s="8" customFormat="1" ht="13.5" customHeight="1" x14ac:dyDescent="0.25"/>
    <row r="388" s="8" customFormat="1" ht="13.5" customHeight="1" x14ac:dyDescent="0.25"/>
    <row r="389" s="8" customFormat="1" ht="13.5" customHeight="1" x14ac:dyDescent="0.25"/>
    <row r="390" s="8" customFormat="1" ht="13.5" customHeight="1" x14ac:dyDescent="0.25"/>
    <row r="391" s="8" customFormat="1" ht="13.5" customHeight="1" x14ac:dyDescent="0.25"/>
    <row r="392" s="8" customFormat="1" ht="13.5" customHeight="1" x14ac:dyDescent="0.25"/>
    <row r="393" s="8" customFormat="1" ht="13.5" customHeight="1" x14ac:dyDescent="0.25"/>
    <row r="394" s="8" customFormat="1" ht="13.5" customHeight="1" x14ac:dyDescent="0.25"/>
    <row r="395" s="8" customFormat="1" ht="13.5" customHeight="1" x14ac:dyDescent="0.25"/>
    <row r="396" s="8" customFormat="1" ht="13.5" customHeight="1" x14ac:dyDescent="0.25"/>
    <row r="397" s="8" customFormat="1" ht="13.5" customHeight="1" x14ac:dyDescent="0.25"/>
    <row r="398" s="8" customFormat="1" ht="13.5" customHeight="1" x14ac:dyDescent="0.25"/>
    <row r="399" s="8" customFormat="1" ht="13.5" customHeight="1" x14ac:dyDescent="0.25"/>
    <row r="400" s="8" customFormat="1" ht="13.5" customHeight="1" x14ac:dyDescent="0.25"/>
    <row r="401" s="8" customFormat="1" ht="13.5" customHeight="1" x14ac:dyDescent="0.25"/>
    <row r="402" s="8" customFormat="1" ht="13.5" customHeight="1" x14ac:dyDescent="0.25"/>
    <row r="403" s="8" customFormat="1" ht="13.5" customHeight="1" x14ac:dyDescent="0.25"/>
    <row r="404" s="8" customFormat="1" ht="13.5" customHeight="1" x14ac:dyDescent="0.25"/>
    <row r="405" s="8" customFormat="1" ht="13.5" customHeight="1" x14ac:dyDescent="0.25"/>
    <row r="406" s="8" customFormat="1" ht="13.5" customHeight="1" x14ac:dyDescent="0.25"/>
    <row r="407" s="8" customFormat="1" ht="13.5" customHeight="1" x14ac:dyDescent="0.25"/>
    <row r="408" s="8" customFormat="1" ht="13.5" customHeight="1" x14ac:dyDescent="0.25"/>
    <row r="409" s="8" customFormat="1" ht="13.5" customHeight="1" x14ac:dyDescent="0.25"/>
    <row r="410" s="8" customFormat="1" ht="13.5" customHeight="1" x14ac:dyDescent="0.25"/>
    <row r="411" s="8" customFormat="1" ht="13.5" customHeight="1" x14ac:dyDescent="0.25"/>
    <row r="412" s="8" customFormat="1" ht="13.5" customHeight="1" x14ac:dyDescent="0.25"/>
    <row r="413" s="8" customFormat="1" ht="13.5" customHeight="1" x14ac:dyDescent="0.25"/>
    <row r="414" s="8" customFormat="1" ht="13.5" customHeight="1" x14ac:dyDescent="0.25"/>
    <row r="415" s="8" customFormat="1" ht="13.5" customHeight="1" x14ac:dyDescent="0.25"/>
    <row r="416" s="8" customFormat="1" ht="13.5" customHeight="1" x14ac:dyDescent="0.25"/>
    <row r="417" s="8" customFormat="1" ht="13.5" customHeight="1" x14ac:dyDescent="0.25"/>
    <row r="418" s="8" customFormat="1" ht="13.5" customHeight="1" x14ac:dyDescent="0.25"/>
    <row r="419" s="8" customFormat="1" ht="13.5" customHeight="1" x14ac:dyDescent="0.25"/>
    <row r="420" s="8" customFormat="1" ht="13.5" customHeight="1" x14ac:dyDescent="0.25"/>
    <row r="421" s="8" customFormat="1" ht="13.5" customHeight="1" x14ac:dyDescent="0.25"/>
    <row r="422" s="8" customFormat="1" ht="13.5" customHeight="1" x14ac:dyDescent="0.25"/>
    <row r="423" s="8" customFormat="1" ht="13.5" customHeight="1" x14ac:dyDescent="0.25"/>
    <row r="424" s="8" customFormat="1" ht="13.5" customHeight="1" x14ac:dyDescent="0.25"/>
    <row r="425" s="8" customFormat="1" ht="13.5" customHeight="1" x14ac:dyDescent="0.25"/>
    <row r="426" s="8" customFormat="1" ht="13.5" customHeight="1" x14ac:dyDescent="0.25"/>
    <row r="427" s="8" customFormat="1" ht="13.5" customHeight="1" x14ac:dyDescent="0.25"/>
    <row r="428" s="8" customFormat="1" ht="13.5" customHeight="1" x14ac:dyDescent="0.25"/>
    <row r="429" s="8" customFormat="1" ht="13.5" customHeight="1" x14ac:dyDescent="0.25"/>
    <row r="430" s="8" customFormat="1" ht="13.5" customHeight="1" x14ac:dyDescent="0.25"/>
    <row r="431" s="8" customFormat="1" ht="13.5" customHeight="1" x14ac:dyDescent="0.25"/>
    <row r="432" s="8" customFormat="1" ht="13.5" customHeight="1" x14ac:dyDescent="0.25"/>
    <row r="433" s="8" customFormat="1" ht="13.5" customHeight="1" x14ac:dyDescent="0.25"/>
    <row r="434" s="8" customFormat="1" ht="13.5" customHeight="1" x14ac:dyDescent="0.25"/>
    <row r="435" s="8" customFormat="1" ht="13.5" customHeight="1" x14ac:dyDescent="0.25"/>
    <row r="436" s="8" customFormat="1" ht="13.5" customHeight="1" x14ac:dyDescent="0.25"/>
    <row r="437" s="8" customFormat="1" ht="13.5" customHeight="1" x14ac:dyDescent="0.25"/>
    <row r="438" s="8" customFormat="1" ht="13.5" customHeight="1" x14ac:dyDescent="0.25"/>
    <row r="439" s="8" customFormat="1" ht="13.5" customHeight="1" x14ac:dyDescent="0.25"/>
    <row r="440" s="8" customFormat="1" ht="13.5" customHeight="1" x14ac:dyDescent="0.25"/>
    <row r="441" s="8" customFormat="1" ht="13.5" customHeight="1" x14ac:dyDescent="0.25"/>
    <row r="442" s="8" customFormat="1" ht="13.5" customHeight="1" x14ac:dyDescent="0.25"/>
    <row r="443" s="8" customFormat="1" ht="13.5" customHeight="1" x14ac:dyDescent="0.25"/>
    <row r="444" s="8" customFormat="1" ht="13.5" customHeight="1" x14ac:dyDescent="0.25"/>
    <row r="445" s="8" customFormat="1" ht="13.5" customHeight="1" x14ac:dyDescent="0.25"/>
    <row r="446" s="8" customFormat="1" ht="13.5" customHeight="1" x14ac:dyDescent="0.25"/>
    <row r="447" s="8" customFormat="1" ht="13.5" customHeight="1" x14ac:dyDescent="0.25"/>
    <row r="448" s="8" customFormat="1" ht="13.5" customHeight="1" x14ac:dyDescent="0.25"/>
    <row r="449" s="8" customFormat="1" ht="13.5" customHeight="1" x14ac:dyDescent="0.25"/>
    <row r="450" s="8" customFormat="1" ht="13.5" customHeight="1" x14ac:dyDescent="0.25"/>
    <row r="451" s="8" customFormat="1" ht="13.5" customHeight="1" x14ac:dyDescent="0.25"/>
    <row r="452" s="8" customFormat="1" ht="13.5" customHeight="1" x14ac:dyDescent="0.25"/>
    <row r="453" s="8" customFormat="1" ht="13.5" customHeight="1" x14ac:dyDescent="0.25"/>
    <row r="454" s="8" customFormat="1" ht="13.5" customHeight="1" x14ac:dyDescent="0.25"/>
    <row r="455" s="8" customFormat="1" ht="13.5" customHeight="1" x14ac:dyDescent="0.25"/>
    <row r="456" s="8" customFormat="1" ht="13.5" customHeight="1" x14ac:dyDescent="0.25"/>
    <row r="457" s="8" customFormat="1" ht="13.5" customHeight="1" x14ac:dyDescent="0.25"/>
    <row r="458" s="8" customFormat="1" ht="13.5" customHeight="1" x14ac:dyDescent="0.25"/>
    <row r="459" s="8" customFormat="1" ht="13.5" customHeight="1" x14ac:dyDescent="0.25"/>
    <row r="460" s="8" customFormat="1" ht="13.5" customHeight="1" x14ac:dyDescent="0.25"/>
    <row r="461" s="8" customFormat="1" ht="13.5" customHeight="1" x14ac:dyDescent="0.25"/>
    <row r="462" s="8" customFormat="1" ht="13.5" customHeight="1" x14ac:dyDescent="0.25"/>
    <row r="463" s="8" customFormat="1" ht="13.5" customHeight="1" x14ac:dyDescent="0.25"/>
    <row r="464" s="8" customFormat="1" ht="13.5" customHeight="1" x14ac:dyDescent="0.25"/>
    <row r="465" s="8" customFormat="1" ht="13.5" customHeight="1" x14ac:dyDescent="0.25"/>
    <row r="466" s="8" customFormat="1" ht="13.5" customHeight="1" x14ac:dyDescent="0.25"/>
    <row r="467" s="8" customFormat="1" ht="13.5" customHeight="1" x14ac:dyDescent="0.25"/>
    <row r="468" s="8" customFormat="1" ht="13.5" customHeight="1" x14ac:dyDescent="0.25"/>
    <row r="469" s="8" customFormat="1" ht="13.5" customHeight="1" x14ac:dyDescent="0.25"/>
    <row r="470" s="8" customFormat="1" ht="13.5" customHeight="1" x14ac:dyDescent="0.25"/>
    <row r="471" s="8" customFormat="1" ht="13.5" customHeight="1" x14ac:dyDescent="0.25"/>
    <row r="472" s="8" customFormat="1" ht="13.5" customHeight="1" x14ac:dyDescent="0.25"/>
    <row r="473" s="8" customFormat="1" ht="13.5" customHeight="1" x14ac:dyDescent="0.25"/>
    <row r="474" s="8" customFormat="1" ht="13.5" customHeight="1" x14ac:dyDescent="0.25"/>
    <row r="475" s="8" customFormat="1" ht="13.5" customHeight="1" x14ac:dyDescent="0.25"/>
    <row r="476" s="8" customFormat="1" ht="13.5" customHeight="1" x14ac:dyDescent="0.25"/>
    <row r="477" s="8" customFormat="1" ht="13.5" customHeight="1" x14ac:dyDescent="0.25"/>
    <row r="478" s="8" customFormat="1" ht="13.5" customHeight="1" x14ac:dyDescent="0.25"/>
    <row r="479" s="8" customFormat="1" ht="13.5" customHeight="1" x14ac:dyDescent="0.25"/>
    <row r="480" s="8" customFormat="1" ht="13.5" customHeight="1" x14ac:dyDescent="0.25"/>
    <row r="481" s="8" customFormat="1" ht="13.5" customHeight="1" x14ac:dyDescent="0.25"/>
    <row r="482" s="8" customFormat="1" ht="13.5" customHeight="1" x14ac:dyDescent="0.25"/>
    <row r="483" s="8" customFormat="1" ht="13.5" customHeight="1" x14ac:dyDescent="0.25"/>
    <row r="484" s="8" customFormat="1" ht="13.5" customHeight="1" x14ac:dyDescent="0.25"/>
    <row r="485" s="8" customFormat="1" ht="13.5" customHeight="1" x14ac:dyDescent="0.25"/>
    <row r="486" s="8" customFormat="1" ht="13.5" customHeight="1" x14ac:dyDescent="0.25"/>
    <row r="487" s="8" customFormat="1" ht="13.5" customHeight="1" x14ac:dyDescent="0.25"/>
    <row r="488" s="8" customFormat="1" ht="13.5" customHeight="1" x14ac:dyDescent="0.25"/>
    <row r="489" s="8" customFormat="1" ht="13.5" customHeight="1" x14ac:dyDescent="0.25"/>
    <row r="490" s="8" customFormat="1" ht="13.5" customHeight="1" x14ac:dyDescent="0.25"/>
    <row r="491" s="8" customFormat="1" ht="13.5" customHeight="1" x14ac:dyDescent="0.25"/>
    <row r="492" s="8" customFormat="1" ht="13.5" customHeight="1" x14ac:dyDescent="0.25"/>
    <row r="493" s="8" customFormat="1" ht="13.5" customHeight="1" x14ac:dyDescent="0.25"/>
    <row r="494" s="8" customFormat="1" ht="13.5" customHeight="1" x14ac:dyDescent="0.25"/>
    <row r="495" s="8" customFormat="1" ht="13.5" customHeight="1" x14ac:dyDescent="0.25"/>
    <row r="496" s="8" customFormat="1" ht="13.5" customHeight="1" x14ac:dyDescent="0.25"/>
    <row r="497" s="8" customFormat="1" ht="13.5" customHeight="1" x14ac:dyDescent="0.25"/>
    <row r="498" s="8" customFormat="1" ht="13.5" customHeight="1" x14ac:dyDescent="0.25"/>
    <row r="499" s="8" customFormat="1" ht="13.5" customHeight="1" x14ac:dyDescent="0.25"/>
    <row r="500" s="8" customFormat="1" ht="13.5" customHeight="1" x14ac:dyDescent="0.25"/>
    <row r="501" s="8" customFormat="1" ht="13.5" customHeight="1" x14ac:dyDescent="0.25"/>
    <row r="502" s="8" customFormat="1" ht="13.5" customHeight="1" x14ac:dyDescent="0.25"/>
    <row r="503" s="8" customFormat="1" ht="13.5" customHeight="1" x14ac:dyDescent="0.25"/>
    <row r="504" s="8" customFormat="1" ht="13.5" customHeight="1" x14ac:dyDescent="0.25"/>
    <row r="505" s="8" customFormat="1" ht="13.5" customHeight="1" x14ac:dyDescent="0.25"/>
    <row r="506" s="8" customFormat="1" ht="13.5" customHeight="1" x14ac:dyDescent="0.25"/>
    <row r="507" s="8" customFormat="1" ht="13.5" customHeight="1" x14ac:dyDescent="0.25"/>
    <row r="508" s="8" customFormat="1" ht="13.5" customHeight="1" x14ac:dyDescent="0.25"/>
    <row r="509" s="8" customFormat="1" ht="13.5" customHeight="1" x14ac:dyDescent="0.25"/>
    <row r="510" s="8" customFormat="1" ht="13.5" customHeight="1" x14ac:dyDescent="0.25"/>
    <row r="511" s="8" customFormat="1" ht="13.5" customHeight="1" x14ac:dyDescent="0.25"/>
    <row r="512" s="8" customFormat="1" ht="13.5" customHeight="1" x14ac:dyDescent="0.25"/>
    <row r="513" s="8" customFormat="1" ht="13.5" customHeight="1" x14ac:dyDescent="0.25"/>
    <row r="514" s="8" customFormat="1" ht="13.5" customHeight="1" x14ac:dyDescent="0.25"/>
    <row r="515" s="8" customFormat="1" ht="13.5" customHeight="1" x14ac:dyDescent="0.25"/>
    <row r="516" s="8" customFormat="1" ht="13.5" customHeight="1" x14ac:dyDescent="0.25"/>
    <row r="517" s="8" customFormat="1" ht="13.5" customHeight="1" x14ac:dyDescent="0.25"/>
    <row r="518" s="8" customFormat="1" ht="13.5" customHeight="1" x14ac:dyDescent="0.25"/>
    <row r="519" s="8" customFormat="1" ht="13.5" customHeight="1" x14ac:dyDescent="0.25"/>
    <row r="520" s="8" customFormat="1" ht="13.5" customHeight="1" x14ac:dyDescent="0.25"/>
    <row r="521" s="8" customFormat="1" ht="13.5" customHeight="1" x14ac:dyDescent="0.25"/>
    <row r="522" s="8" customFormat="1" ht="13.5" customHeight="1" x14ac:dyDescent="0.25"/>
    <row r="523" s="8" customFormat="1" ht="13.5" customHeight="1" x14ac:dyDescent="0.25"/>
    <row r="524" s="8" customFormat="1" ht="13.5" customHeight="1" x14ac:dyDescent="0.25"/>
    <row r="525" s="8" customFormat="1" ht="13.5" customHeight="1" x14ac:dyDescent="0.25"/>
    <row r="526" s="8" customFormat="1" ht="13.5" customHeight="1" x14ac:dyDescent="0.25"/>
    <row r="527" s="8" customFormat="1" ht="13.5" customHeight="1" x14ac:dyDescent="0.25"/>
    <row r="528" s="8" customFormat="1" ht="13.5" customHeight="1" x14ac:dyDescent="0.25"/>
    <row r="529" s="8" customFormat="1" ht="13.5" customHeight="1" x14ac:dyDescent="0.25"/>
    <row r="530" s="8" customFormat="1" ht="13.5" customHeight="1" x14ac:dyDescent="0.25"/>
    <row r="531" s="8" customFormat="1" ht="13.5" customHeight="1" x14ac:dyDescent="0.25"/>
    <row r="532" s="8" customFormat="1" ht="13.5" customHeight="1" x14ac:dyDescent="0.25"/>
    <row r="533" s="8" customFormat="1" ht="13.5" customHeight="1" x14ac:dyDescent="0.25"/>
    <row r="534" s="8" customFormat="1" ht="13.5" customHeight="1" x14ac:dyDescent="0.25"/>
    <row r="535" s="8" customFormat="1" ht="13.5" customHeight="1" x14ac:dyDescent="0.25"/>
    <row r="536" s="8" customFormat="1" ht="13.5" customHeight="1" x14ac:dyDescent="0.25"/>
    <row r="537" s="8" customFormat="1" ht="13.5" customHeight="1" x14ac:dyDescent="0.25"/>
    <row r="538" s="8" customFormat="1" ht="13.5" customHeight="1" x14ac:dyDescent="0.25"/>
    <row r="539" s="8" customFormat="1" ht="13.5" customHeight="1" x14ac:dyDescent="0.25"/>
    <row r="540" s="8" customFormat="1" ht="13.5" customHeight="1" x14ac:dyDescent="0.25"/>
    <row r="541" s="8" customFormat="1" ht="13.5" customHeight="1" x14ac:dyDescent="0.25"/>
    <row r="542" s="8" customFormat="1" ht="13.5" customHeight="1" x14ac:dyDescent="0.25"/>
    <row r="543" s="8" customFormat="1" ht="13.5" customHeight="1" x14ac:dyDescent="0.25"/>
    <row r="544" s="8" customFormat="1" ht="13.5" customHeight="1" x14ac:dyDescent="0.25"/>
    <row r="545" s="8" customFormat="1" ht="13.5" customHeight="1" x14ac:dyDescent="0.25"/>
    <row r="546" s="8" customFormat="1" ht="13.5" customHeight="1" x14ac:dyDescent="0.25"/>
    <row r="547" s="8" customFormat="1" ht="13.5" customHeight="1" x14ac:dyDescent="0.25"/>
    <row r="548" s="8" customFormat="1" ht="13.5" customHeight="1" x14ac:dyDescent="0.25"/>
    <row r="549" s="8" customFormat="1" ht="13.5" customHeight="1" x14ac:dyDescent="0.25"/>
    <row r="550" s="8" customFormat="1" ht="13.5" customHeight="1" x14ac:dyDescent="0.25"/>
    <row r="551" s="8" customFormat="1" ht="13.5" customHeight="1" x14ac:dyDescent="0.25"/>
    <row r="552" s="8" customFormat="1" ht="13.5" customHeight="1" x14ac:dyDescent="0.25"/>
    <row r="553" s="8" customFormat="1" ht="13.5" customHeight="1" x14ac:dyDescent="0.25"/>
    <row r="554" s="8" customFormat="1" ht="13.5" customHeight="1" x14ac:dyDescent="0.25"/>
    <row r="555" s="8" customFormat="1" ht="13.5" customHeight="1" x14ac:dyDescent="0.25"/>
    <row r="556" s="8" customFormat="1" ht="13.5" customHeight="1" x14ac:dyDescent="0.25"/>
    <row r="557" s="8" customFormat="1" ht="13.5" customHeight="1" x14ac:dyDescent="0.25"/>
    <row r="558" s="8" customFormat="1" ht="13.5" customHeight="1" x14ac:dyDescent="0.25"/>
    <row r="559" s="8" customFormat="1" ht="13.5" customHeight="1" x14ac:dyDescent="0.25"/>
    <row r="560" s="8" customFormat="1" ht="13.5" customHeight="1" x14ac:dyDescent="0.25"/>
    <row r="561" s="8" customFormat="1" ht="13.5" customHeight="1" x14ac:dyDescent="0.25"/>
    <row r="562" s="8" customFormat="1" ht="13.5" customHeight="1" x14ac:dyDescent="0.25"/>
    <row r="563" s="8" customFormat="1" ht="13.5" customHeight="1" x14ac:dyDescent="0.25"/>
    <row r="564" s="8" customFormat="1" ht="13.5" customHeight="1" x14ac:dyDescent="0.25"/>
    <row r="565" s="8" customFormat="1" ht="13.5" customHeight="1" x14ac:dyDescent="0.25"/>
    <row r="566" s="8" customFormat="1" ht="13.5" customHeight="1" x14ac:dyDescent="0.25"/>
    <row r="567" s="8" customFormat="1" ht="13.5" customHeight="1" x14ac:dyDescent="0.25"/>
    <row r="568" s="8" customFormat="1" ht="13.5" customHeight="1" x14ac:dyDescent="0.25"/>
    <row r="569" s="8" customFormat="1" ht="13.5" customHeight="1" x14ac:dyDescent="0.25"/>
    <row r="570" s="8" customFormat="1" ht="13.5" customHeight="1" x14ac:dyDescent="0.25"/>
    <row r="571" s="8" customFormat="1" ht="13.5" customHeight="1" x14ac:dyDescent="0.25"/>
    <row r="572" s="8" customFormat="1" ht="13.5" customHeight="1" x14ac:dyDescent="0.25"/>
    <row r="573" s="8" customFormat="1" ht="13.5" customHeight="1" x14ac:dyDescent="0.25"/>
    <row r="574" s="8" customFormat="1" ht="13.5" customHeight="1" x14ac:dyDescent="0.25"/>
    <row r="575" s="8" customFormat="1" ht="13.5" customHeight="1" x14ac:dyDescent="0.25"/>
    <row r="576" s="8" customFormat="1" ht="13.5" customHeight="1" x14ac:dyDescent="0.25"/>
    <row r="577" s="8" customFormat="1" ht="13.5" customHeight="1" x14ac:dyDescent="0.25"/>
    <row r="578" s="8" customFormat="1" ht="13.5" customHeight="1" x14ac:dyDescent="0.25"/>
    <row r="579" s="8" customFormat="1" ht="13.5" customHeight="1" x14ac:dyDescent="0.25"/>
    <row r="580" s="8" customFormat="1" ht="13.5" customHeight="1" x14ac:dyDescent="0.25"/>
    <row r="581" s="8" customFormat="1" ht="13.5" customHeight="1" x14ac:dyDescent="0.25"/>
    <row r="582" s="8" customFormat="1" ht="13.5" customHeight="1" x14ac:dyDescent="0.25"/>
    <row r="583" s="8" customFormat="1" ht="13.5" customHeight="1" x14ac:dyDescent="0.25"/>
    <row r="584" s="8" customFormat="1" ht="13.5" customHeight="1" x14ac:dyDescent="0.25"/>
    <row r="585" s="8" customFormat="1" ht="13.5" customHeight="1" x14ac:dyDescent="0.25"/>
    <row r="586" s="8" customFormat="1" ht="13.5" customHeight="1" x14ac:dyDescent="0.25"/>
    <row r="587" s="8" customFormat="1" ht="13.5" customHeight="1" x14ac:dyDescent="0.25"/>
    <row r="588" s="8" customFormat="1" ht="13.5" customHeight="1" x14ac:dyDescent="0.25"/>
    <row r="589" s="8" customFormat="1" ht="13.5" customHeight="1" x14ac:dyDescent="0.25"/>
    <row r="590" s="8" customFormat="1" ht="13.5" customHeight="1" x14ac:dyDescent="0.25"/>
    <row r="591" s="8" customFormat="1" ht="13.5" customHeight="1" x14ac:dyDescent="0.25"/>
    <row r="592" s="8" customFormat="1" ht="13.5" customHeight="1" x14ac:dyDescent="0.25"/>
    <row r="593" s="8" customFormat="1" ht="13.5" customHeight="1" x14ac:dyDescent="0.25"/>
    <row r="594" s="8" customFormat="1" ht="13.5" customHeight="1" x14ac:dyDescent="0.25"/>
    <row r="595" s="8" customFormat="1" ht="13.5" customHeight="1" x14ac:dyDescent="0.25"/>
    <row r="596" s="8" customFormat="1" ht="13.5" customHeight="1" x14ac:dyDescent="0.25"/>
    <row r="597" s="8" customFormat="1" ht="13.5" customHeight="1" x14ac:dyDescent="0.25"/>
    <row r="598" s="8" customFormat="1" ht="13.5" customHeight="1" x14ac:dyDescent="0.25"/>
    <row r="599" s="8" customFormat="1" ht="13.5" customHeight="1" x14ac:dyDescent="0.25"/>
    <row r="600" s="8" customFormat="1" ht="13.5" customHeight="1" x14ac:dyDescent="0.25"/>
    <row r="601" s="8" customFormat="1" ht="13.5" customHeight="1" x14ac:dyDescent="0.25"/>
    <row r="602" s="8" customFormat="1" ht="13.5" customHeight="1" x14ac:dyDescent="0.25"/>
    <row r="603" s="8" customFormat="1" ht="13.5" customHeight="1" x14ac:dyDescent="0.25"/>
    <row r="604" s="8" customFormat="1" ht="13.5" customHeight="1" x14ac:dyDescent="0.25"/>
    <row r="605" s="8" customFormat="1" ht="13.5" customHeight="1" x14ac:dyDescent="0.25"/>
    <row r="606" s="8" customFormat="1" ht="13.5" customHeight="1" x14ac:dyDescent="0.25"/>
    <row r="607" s="8" customFormat="1" ht="13.5" customHeight="1" x14ac:dyDescent="0.25"/>
    <row r="608" s="8" customFormat="1" ht="13.5" customHeight="1" x14ac:dyDescent="0.25"/>
    <row r="609" s="8" customFormat="1" ht="13.5" customHeight="1" x14ac:dyDescent="0.25"/>
    <row r="610" s="8" customFormat="1" ht="13.5" customHeight="1" x14ac:dyDescent="0.25"/>
    <row r="611" s="8" customFormat="1" ht="13.5" customHeight="1" x14ac:dyDescent="0.25"/>
    <row r="612" s="8" customFormat="1" ht="13.5" customHeight="1" x14ac:dyDescent="0.25"/>
    <row r="613" s="8" customFormat="1" ht="13.5" customHeight="1" x14ac:dyDescent="0.25"/>
    <row r="614" s="8" customFormat="1" ht="13.5" customHeight="1" x14ac:dyDescent="0.25"/>
    <row r="615" s="8" customFormat="1" ht="13.5" customHeight="1" x14ac:dyDescent="0.25"/>
    <row r="616" s="8" customFormat="1" ht="13.5" customHeight="1" x14ac:dyDescent="0.25"/>
    <row r="617" s="8" customFormat="1" ht="13.5" customHeight="1" x14ac:dyDescent="0.25"/>
    <row r="618" s="8" customFormat="1" ht="13.5" customHeight="1" x14ac:dyDescent="0.25"/>
    <row r="619" s="8" customFormat="1" ht="13.5" customHeight="1" x14ac:dyDescent="0.25"/>
    <row r="620" s="8" customFormat="1" ht="13.5" customHeight="1" x14ac:dyDescent="0.25"/>
    <row r="621" s="8" customFormat="1" ht="13.5" customHeight="1" x14ac:dyDescent="0.25"/>
    <row r="622" s="8" customFormat="1" ht="13.5" customHeight="1" x14ac:dyDescent="0.25"/>
    <row r="623" s="8" customFormat="1" ht="13.5" customHeight="1" x14ac:dyDescent="0.25"/>
    <row r="624" s="8" customFormat="1" ht="13.5" customHeight="1" x14ac:dyDescent="0.25"/>
    <row r="625" s="8" customFormat="1" ht="13.5" customHeight="1" x14ac:dyDescent="0.25"/>
    <row r="626" s="8" customFormat="1" ht="13.5" customHeight="1" x14ac:dyDescent="0.25"/>
    <row r="627" s="8" customFormat="1" ht="13.5" customHeight="1" x14ac:dyDescent="0.25"/>
    <row r="628" s="8" customFormat="1" ht="13.5" customHeight="1" x14ac:dyDescent="0.25"/>
    <row r="629" s="8" customFormat="1" ht="13.5" customHeight="1" x14ac:dyDescent="0.25"/>
    <row r="630" s="8" customFormat="1" ht="13.5" customHeight="1" x14ac:dyDescent="0.25"/>
    <row r="631" s="8" customFormat="1" ht="13.5" customHeight="1" x14ac:dyDescent="0.25"/>
    <row r="632" s="8" customFormat="1" ht="13.5" customHeight="1" x14ac:dyDescent="0.25"/>
    <row r="633" s="8" customFormat="1" ht="13.5" customHeight="1" x14ac:dyDescent="0.25"/>
    <row r="634" s="8" customFormat="1" ht="13.5" customHeight="1" x14ac:dyDescent="0.25"/>
    <row r="635" s="8" customFormat="1" ht="13.5" customHeight="1" x14ac:dyDescent="0.25"/>
    <row r="636" s="8" customFormat="1" ht="13.5" customHeight="1" x14ac:dyDescent="0.25"/>
    <row r="637" s="8" customFormat="1" ht="13.5" customHeight="1" x14ac:dyDescent="0.25"/>
    <row r="638" s="8" customFormat="1" ht="13.5" customHeight="1" x14ac:dyDescent="0.25"/>
    <row r="639" s="8" customFormat="1" ht="13.5" customHeight="1" x14ac:dyDescent="0.25"/>
    <row r="640" s="8" customFormat="1" ht="13.5" customHeight="1" x14ac:dyDescent="0.25"/>
    <row r="641" s="8" customFormat="1" ht="13.5" customHeight="1" x14ac:dyDescent="0.25"/>
    <row r="642" s="8" customFormat="1" ht="13.5" customHeight="1" x14ac:dyDescent="0.25"/>
    <row r="643" s="8" customFormat="1" ht="13.5" customHeight="1" x14ac:dyDescent="0.25"/>
    <row r="644" s="8" customFormat="1" ht="13.5" customHeight="1" x14ac:dyDescent="0.25"/>
    <row r="645" s="8" customFormat="1" ht="13.5" customHeight="1" x14ac:dyDescent="0.25"/>
    <row r="646" s="8" customFormat="1" ht="13.5" customHeight="1" x14ac:dyDescent="0.25"/>
    <row r="647" s="8" customFormat="1" ht="13.5" customHeight="1" x14ac:dyDescent="0.25"/>
    <row r="648" s="8" customFormat="1" ht="13.5" customHeight="1" x14ac:dyDescent="0.25"/>
    <row r="649" s="8" customFormat="1" ht="13.5" customHeight="1" x14ac:dyDescent="0.25"/>
    <row r="650" s="8" customFormat="1" ht="13.5" customHeight="1" x14ac:dyDescent="0.25"/>
    <row r="651" s="8" customFormat="1" ht="13.5" customHeight="1" x14ac:dyDescent="0.25"/>
    <row r="652" s="8" customFormat="1" ht="13.5" customHeight="1" x14ac:dyDescent="0.25"/>
    <row r="653" s="8" customFormat="1" ht="13.5" customHeight="1" x14ac:dyDescent="0.25"/>
    <row r="654" s="8" customFormat="1" ht="13.5" customHeight="1" x14ac:dyDescent="0.25"/>
    <row r="655" s="8" customFormat="1" ht="13.5" customHeight="1" x14ac:dyDescent="0.25"/>
    <row r="656" s="8" customFormat="1" ht="13.5" customHeight="1" x14ac:dyDescent="0.25"/>
    <row r="657" s="8" customFormat="1" ht="13.5" customHeight="1" x14ac:dyDescent="0.25"/>
    <row r="658" s="8" customFormat="1" ht="13.5" customHeight="1" x14ac:dyDescent="0.25"/>
    <row r="659" s="8" customFormat="1" ht="13.5" customHeight="1" x14ac:dyDescent="0.25"/>
    <row r="660" s="8" customFormat="1" ht="13.5" customHeight="1" x14ac:dyDescent="0.25"/>
    <row r="661" s="8" customFormat="1" ht="13.5" customHeight="1" x14ac:dyDescent="0.25"/>
    <row r="662" s="8" customFormat="1" ht="13.5" customHeight="1" x14ac:dyDescent="0.25"/>
    <row r="663" s="8" customFormat="1" ht="13.5" customHeight="1" x14ac:dyDescent="0.25"/>
    <row r="664" s="8" customFormat="1" ht="13.5" customHeight="1" x14ac:dyDescent="0.25"/>
    <row r="665" s="8" customFormat="1" ht="13.5" customHeight="1" x14ac:dyDescent="0.25"/>
    <row r="666" s="8" customFormat="1" ht="13.5" customHeight="1" x14ac:dyDescent="0.25"/>
    <row r="667" s="8" customFormat="1" ht="13.5" customHeight="1" x14ac:dyDescent="0.25"/>
    <row r="668" s="8" customFormat="1" ht="13.5" customHeight="1" x14ac:dyDescent="0.25"/>
    <row r="669" s="8" customFormat="1" ht="13.5" customHeight="1" x14ac:dyDescent="0.25"/>
    <row r="670" s="8" customFormat="1" ht="13.5" customHeight="1" x14ac:dyDescent="0.25"/>
    <row r="671" s="8" customFormat="1" ht="13.5" customHeight="1" x14ac:dyDescent="0.25"/>
    <row r="672" s="8" customFormat="1" ht="13.5" customHeight="1" x14ac:dyDescent="0.25"/>
    <row r="673" s="8" customFormat="1" ht="13.5" customHeight="1" x14ac:dyDescent="0.25"/>
    <row r="674" s="8" customFormat="1" ht="13.5" customHeight="1" x14ac:dyDescent="0.25"/>
    <row r="675" s="8" customFormat="1" ht="13.5" customHeight="1" x14ac:dyDescent="0.25"/>
    <row r="676" s="8" customFormat="1" ht="13.5" customHeight="1" x14ac:dyDescent="0.25"/>
    <row r="677" s="8" customFormat="1" ht="13.5" customHeight="1" x14ac:dyDescent="0.25"/>
    <row r="678" s="8" customFormat="1" ht="13.5" customHeight="1" x14ac:dyDescent="0.25"/>
    <row r="679" s="8" customFormat="1" ht="13.5" customHeight="1" x14ac:dyDescent="0.25"/>
    <row r="680" s="8" customFormat="1" ht="13.5" customHeight="1" x14ac:dyDescent="0.25"/>
    <row r="681" s="8" customFormat="1" ht="13.5" customHeight="1" x14ac:dyDescent="0.25"/>
    <row r="682" s="8" customFormat="1" ht="13.5" customHeight="1" x14ac:dyDescent="0.25"/>
    <row r="683" s="8" customFormat="1" ht="13.5" customHeight="1" x14ac:dyDescent="0.25"/>
    <row r="684" s="8" customFormat="1" ht="13.5" customHeight="1" x14ac:dyDescent="0.25"/>
    <row r="685" s="8" customFormat="1" ht="13.5" customHeight="1" x14ac:dyDescent="0.25"/>
    <row r="686" s="8" customFormat="1" ht="13.5" customHeight="1" x14ac:dyDescent="0.25"/>
    <row r="687" s="8" customFormat="1" ht="13.5" customHeight="1" x14ac:dyDescent="0.25"/>
    <row r="688" s="8" customFormat="1" ht="13.5" customHeight="1" x14ac:dyDescent="0.25"/>
    <row r="689" s="8" customFormat="1" ht="13.5" customHeight="1" x14ac:dyDescent="0.25"/>
    <row r="690" s="8" customFormat="1" ht="13.5" customHeight="1" x14ac:dyDescent="0.25"/>
    <row r="691" s="8" customFormat="1" ht="13.5" customHeight="1" x14ac:dyDescent="0.25"/>
    <row r="692" s="8" customFormat="1" ht="13.5" customHeight="1" x14ac:dyDescent="0.25"/>
    <row r="693" s="8" customFormat="1" ht="13.5" customHeight="1" x14ac:dyDescent="0.25"/>
    <row r="694" s="8" customFormat="1" ht="13.5" customHeight="1" x14ac:dyDescent="0.25"/>
    <row r="695" s="8" customFormat="1" ht="13.5" customHeight="1" x14ac:dyDescent="0.25"/>
    <row r="696" s="8" customFormat="1" ht="13.5" customHeight="1" x14ac:dyDescent="0.25"/>
    <row r="697" s="8" customFormat="1" ht="13.5" customHeight="1" x14ac:dyDescent="0.25"/>
    <row r="698" s="8" customFormat="1" ht="13.5" customHeight="1" x14ac:dyDescent="0.25"/>
    <row r="699" s="8" customFormat="1" ht="13.5" customHeight="1" x14ac:dyDescent="0.25"/>
    <row r="700" s="8" customFormat="1" ht="13.5" customHeight="1" x14ac:dyDescent="0.25"/>
    <row r="701" s="8" customFormat="1" ht="13.5" customHeight="1" x14ac:dyDescent="0.25"/>
    <row r="702" s="8" customFormat="1" ht="13.5" customHeight="1" x14ac:dyDescent="0.25"/>
    <row r="703" s="8" customFormat="1" ht="13.5" customHeight="1" x14ac:dyDescent="0.25"/>
    <row r="704" s="8" customFormat="1" ht="13.5" customHeight="1" x14ac:dyDescent="0.25"/>
    <row r="705" s="8" customFormat="1" ht="13.5" customHeight="1" x14ac:dyDescent="0.25"/>
    <row r="706" s="8" customFormat="1" ht="13.5" customHeight="1" x14ac:dyDescent="0.25"/>
    <row r="707" s="8" customFormat="1" ht="13.5" customHeight="1" x14ac:dyDescent="0.25"/>
    <row r="708" s="8" customFormat="1" ht="13.5" customHeight="1" x14ac:dyDescent="0.25"/>
    <row r="709" s="8" customFormat="1" ht="13.5" customHeight="1" x14ac:dyDescent="0.25"/>
    <row r="710" s="8" customFormat="1" ht="13.5" customHeight="1" x14ac:dyDescent="0.25"/>
    <row r="711" s="8" customFormat="1" ht="13.5" customHeight="1" x14ac:dyDescent="0.25"/>
    <row r="712" s="8" customFormat="1" ht="13.5" customHeight="1" x14ac:dyDescent="0.25"/>
    <row r="713" s="8" customFormat="1" ht="13.5" customHeight="1" x14ac:dyDescent="0.25"/>
    <row r="714" s="8" customFormat="1" ht="13.5" customHeight="1" x14ac:dyDescent="0.25"/>
    <row r="715" s="8" customFormat="1" ht="13.5" customHeight="1" x14ac:dyDescent="0.25"/>
    <row r="716" s="8" customFormat="1" ht="13.5" customHeight="1" x14ac:dyDescent="0.25"/>
    <row r="717" s="8" customFormat="1" ht="13.5" customHeight="1" x14ac:dyDescent="0.25"/>
    <row r="718" s="8" customFormat="1" ht="13.5" customHeight="1" x14ac:dyDescent="0.25"/>
    <row r="719" s="8" customFormat="1" ht="13.5" customHeight="1" x14ac:dyDescent="0.25"/>
    <row r="720" s="8" customFormat="1" ht="13.5" customHeight="1" x14ac:dyDescent="0.25"/>
    <row r="721" s="8" customFormat="1" ht="13.5" customHeight="1" x14ac:dyDescent="0.25"/>
    <row r="722" s="8" customFormat="1" ht="13.5" customHeight="1" x14ac:dyDescent="0.25"/>
    <row r="723" s="8" customFormat="1" ht="13.5" customHeight="1" x14ac:dyDescent="0.25"/>
    <row r="724" s="8" customFormat="1" ht="13.5" customHeight="1" x14ac:dyDescent="0.25"/>
    <row r="725" s="8" customFormat="1" ht="13.5" customHeight="1" x14ac:dyDescent="0.25"/>
    <row r="726" s="8" customFormat="1" ht="13.5" customHeight="1" x14ac:dyDescent="0.25"/>
    <row r="727" s="8" customFormat="1" ht="13.5" customHeight="1" x14ac:dyDescent="0.25"/>
    <row r="728" s="8" customFormat="1" ht="13.5" customHeight="1" x14ac:dyDescent="0.25"/>
    <row r="729" s="8" customFormat="1" ht="13.5" customHeight="1" x14ac:dyDescent="0.25"/>
    <row r="730" s="8" customFormat="1" ht="13.5" customHeight="1" x14ac:dyDescent="0.25"/>
    <row r="731" s="8" customFormat="1" ht="13.5" customHeight="1" x14ac:dyDescent="0.25"/>
    <row r="732" s="8" customFormat="1" ht="13.5" customHeight="1" x14ac:dyDescent="0.25"/>
    <row r="733" s="8" customFormat="1" ht="13.5" customHeight="1" x14ac:dyDescent="0.25"/>
    <row r="734" s="8" customFormat="1" ht="13.5" customHeight="1" x14ac:dyDescent="0.25"/>
    <row r="735" s="8" customFormat="1" ht="13.5" customHeight="1" x14ac:dyDescent="0.25"/>
    <row r="736" s="8" customFormat="1" ht="13.5" customHeight="1" x14ac:dyDescent="0.25"/>
    <row r="737" s="8" customFormat="1" ht="13.5" customHeight="1" x14ac:dyDescent="0.25"/>
    <row r="738" s="8" customFormat="1" ht="13.5" customHeight="1" x14ac:dyDescent="0.25"/>
    <row r="739" s="8" customFormat="1" ht="13.5" customHeight="1" x14ac:dyDescent="0.25"/>
    <row r="740" s="8" customFormat="1" ht="13.5" customHeight="1" x14ac:dyDescent="0.25"/>
    <row r="741" s="8" customFormat="1" ht="13.5" customHeight="1" x14ac:dyDescent="0.25"/>
    <row r="742" s="8" customFormat="1" ht="13.5" customHeight="1" x14ac:dyDescent="0.25"/>
    <row r="743" s="8" customFormat="1" ht="13.5" customHeight="1" x14ac:dyDescent="0.25"/>
    <row r="744" s="8" customFormat="1" ht="13.5" customHeight="1" x14ac:dyDescent="0.25"/>
    <row r="745" s="8" customFormat="1" ht="13.5" customHeight="1" x14ac:dyDescent="0.25"/>
    <row r="746" s="8" customFormat="1" ht="13.5" customHeight="1" x14ac:dyDescent="0.25"/>
    <row r="747" s="8" customFormat="1" ht="13.5" customHeight="1" x14ac:dyDescent="0.25"/>
    <row r="748" s="8" customFormat="1" ht="13.5" customHeight="1" x14ac:dyDescent="0.25"/>
    <row r="749" s="8" customFormat="1" ht="13.5" customHeight="1" x14ac:dyDescent="0.25"/>
    <row r="750" s="8" customFormat="1" ht="13.5" customHeight="1" x14ac:dyDescent="0.25"/>
    <row r="751" s="8" customFormat="1" ht="13.5" customHeight="1" x14ac:dyDescent="0.25"/>
    <row r="752" s="8" customFormat="1" ht="13.5" customHeight="1" x14ac:dyDescent="0.25"/>
    <row r="753" s="8" customFormat="1" ht="13.5" customHeight="1" x14ac:dyDescent="0.25"/>
    <row r="754" s="8" customFormat="1" ht="13.5" customHeight="1" x14ac:dyDescent="0.25"/>
    <row r="755" s="8" customFormat="1" ht="13.5" customHeight="1" x14ac:dyDescent="0.25"/>
    <row r="756" s="8" customFormat="1" ht="13.5" customHeight="1" x14ac:dyDescent="0.25"/>
    <row r="757" s="8" customFormat="1" ht="13.5" customHeight="1" x14ac:dyDescent="0.25"/>
    <row r="758" s="8" customFormat="1" ht="13.5" customHeight="1" x14ac:dyDescent="0.25"/>
    <row r="759" s="8" customFormat="1" ht="13.5" customHeight="1" x14ac:dyDescent="0.25"/>
    <row r="760" s="8" customFormat="1" ht="13.5" customHeight="1" x14ac:dyDescent="0.25"/>
    <row r="761" s="8" customFormat="1" ht="13.5" customHeight="1" x14ac:dyDescent="0.25"/>
    <row r="762" s="8" customFormat="1" ht="13.5" customHeight="1" x14ac:dyDescent="0.25"/>
    <row r="763" s="8" customFormat="1" ht="13.5" customHeight="1" x14ac:dyDescent="0.25"/>
    <row r="764" s="8" customFormat="1" ht="13.5" customHeight="1" x14ac:dyDescent="0.25"/>
    <row r="765" s="8" customFormat="1" ht="13.5" customHeight="1" x14ac:dyDescent="0.25"/>
    <row r="766" s="8" customFormat="1" ht="13.5" customHeight="1" x14ac:dyDescent="0.25"/>
    <row r="767" s="8" customFormat="1" ht="13.5" customHeight="1" x14ac:dyDescent="0.25"/>
    <row r="768" s="8" customFormat="1" ht="13.5" customHeight="1" x14ac:dyDescent="0.25"/>
    <row r="769" s="8" customFormat="1" ht="13.5" customHeight="1" x14ac:dyDescent="0.25"/>
    <row r="770" s="8" customFormat="1" ht="13.5" customHeight="1" x14ac:dyDescent="0.25"/>
    <row r="771" s="8" customFormat="1" ht="13.5" customHeight="1" x14ac:dyDescent="0.25"/>
    <row r="772" s="8" customFormat="1" ht="13.5" customHeight="1" x14ac:dyDescent="0.25"/>
    <row r="773" s="8" customFormat="1" ht="13.5" customHeight="1" x14ac:dyDescent="0.25"/>
    <row r="774" s="8" customFormat="1" ht="13.5" customHeight="1" x14ac:dyDescent="0.25"/>
    <row r="775" s="8" customFormat="1" ht="13.5" customHeight="1" x14ac:dyDescent="0.25"/>
    <row r="776" s="8" customFormat="1" ht="13.5" customHeight="1" x14ac:dyDescent="0.25"/>
    <row r="777" s="8" customFormat="1" ht="13.5" customHeight="1" x14ac:dyDescent="0.25"/>
    <row r="778" s="8" customFormat="1" ht="13.5" customHeight="1" x14ac:dyDescent="0.25"/>
    <row r="779" s="8" customFormat="1" ht="13.5" customHeight="1" x14ac:dyDescent="0.25"/>
    <row r="780" s="8" customFormat="1" ht="13.5" customHeight="1" x14ac:dyDescent="0.25"/>
    <row r="781" s="8" customFormat="1" ht="13.5" customHeight="1" x14ac:dyDescent="0.25"/>
    <row r="782" s="8" customFormat="1" ht="13.5" customHeight="1" x14ac:dyDescent="0.25"/>
    <row r="783" s="8" customFormat="1" ht="13.5" customHeight="1" x14ac:dyDescent="0.25"/>
    <row r="784" s="8" customFormat="1" ht="13.5" customHeight="1" x14ac:dyDescent="0.25"/>
    <row r="785" s="8" customFormat="1" ht="13.5" customHeight="1" x14ac:dyDescent="0.25"/>
    <row r="786" s="8" customFormat="1" ht="13.5" customHeight="1" x14ac:dyDescent="0.25"/>
    <row r="787" s="8" customFormat="1" ht="13.5" customHeight="1" x14ac:dyDescent="0.25"/>
    <row r="788" s="8" customFormat="1" ht="13.5" customHeight="1" x14ac:dyDescent="0.25"/>
    <row r="789" s="8" customFormat="1" ht="13.5" customHeight="1" x14ac:dyDescent="0.25"/>
    <row r="790" s="8" customFormat="1" ht="13.5" customHeight="1" x14ac:dyDescent="0.25"/>
    <row r="791" s="8" customFormat="1" ht="13.5" customHeight="1" x14ac:dyDescent="0.25"/>
    <row r="792" s="8" customFormat="1" ht="13.5" customHeight="1" x14ac:dyDescent="0.25"/>
    <row r="793" s="8" customFormat="1" ht="13.5" customHeight="1" x14ac:dyDescent="0.25"/>
    <row r="794" s="8" customFormat="1" ht="13.5" customHeight="1" x14ac:dyDescent="0.25"/>
    <row r="795" s="8" customFormat="1" ht="13.5" customHeight="1" x14ac:dyDescent="0.25"/>
    <row r="796" s="8" customFormat="1" ht="13.5" customHeight="1" x14ac:dyDescent="0.25"/>
    <row r="797" s="8" customFormat="1" ht="13.5" customHeight="1" x14ac:dyDescent="0.25"/>
    <row r="798" s="8" customFormat="1" ht="13.5" customHeight="1" x14ac:dyDescent="0.25"/>
    <row r="799" s="8" customFormat="1" ht="13.5" customHeight="1" x14ac:dyDescent="0.25"/>
    <row r="800" s="8" customFormat="1" ht="13.5" customHeight="1" x14ac:dyDescent="0.25"/>
    <row r="801" s="8" customFormat="1" ht="13.5" customHeight="1" x14ac:dyDescent="0.25"/>
    <row r="802" s="8" customFormat="1" ht="13.5" customHeight="1" x14ac:dyDescent="0.25"/>
    <row r="803" s="8" customFormat="1" ht="13.5" customHeight="1" x14ac:dyDescent="0.25"/>
    <row r="804" s="8" customFormat="1" ht="13.5" customHeight="1" x14ac:dyDescent="0.25"/>
    <row r="805" s="8" customFormat="1" ht="13.5" customHeight="1" x14ac:dyDescent="0.25"/>
    <row r="806" s="8" customFormat="1" ht="13.5" customHeight="1" x14ac:dyDescent="0.25"/>
    <row r="807" s="8" customFormat="1" ht="13.5" customHeight="1" x14ac:dyDescent="0.25"/>
    <row r="808" s="8" customFormat="1" ht="13.5" customHeight="1" x14ac:dyDescent="0.25"/>
    <row r="809" s="8" customFormat="1" ht="13.5" customHeight="1" x14ac:dyDescent="0.25"/>
    <row r="810" s="8" customFormat="1" ht="13.5" customHeight="1" x14ac:dyDescent="0.25"/>
    <row r="811" s="8" customFormat="1" ht="13.5" customHeight="1" x14ac:dyDescent="0.25"/>
    <row r="812" s="8" customFormat="1" ht="13.5" customHeight="1" x14ac:dyDescent="0.25"/>
    <row r="813" s="8" customFormat="1" ht="13.5" customHeight="1" x14ac:dyDescent="0.25"/>
    <row r="814" s="8" customFormat="1" ht="13.5" customHeight="1" x14ac:dyDescent="0.25"/>
    <row r="815" s="8" customFormat="1" ht="13.5" customHeight="1" x14ac:dyDescent="0.25"/>
    <row r="816" s="8" customFormat="1" ht="13.5" customHeight="1" x14ac:dyDescent="0.25"/>
    <row r="817" s="8" customFormat="1" ht="13.5" customHeight="1" x14ac:dyDescent="0.25"/>
    <row r="818" s="8" customFormat="1" ht="13.5" customHeight="1" x14ac:dyDescent="0.25"/>
    <row r="819" s="8" customFormat="1" ht="13.5" customHeight="1" x14ac:dyDescent="0.25"/>
    <row r="820" s="8" customFormat="1" ht="13.5" customHeight="1" x14ac:dyDescent="0.25"/>
    <row r="821" s="8" customFormat="1" ht="13.5" customHeight="1" x14ac:dyDescent="0.25"/>
    <row r="822" s="8" customFormat="1" ht="13.5" customHeight="1" x14ac:dyDescent="0.25"/>
    <row r="823" s="8" customFormat="1" ht="13.5" customHeight="1" x14ac:dyDescent="0.25"/>
    <row r="824" s="8" customFormat="1" ht="13.5" customHeight="1" x14ac:dyDescent="0.25"/>
    <row r="825" s="8" customFormat="1" ht="13.5" customHeight="1" x14ac:dyDescent="0.25"/>
    <row r="826" s="8" customFormat="1" ht="13.5" customHeight="1" x14ac:dyDescent="0.25"/>
    <row r="827" s="8" customFormat="1" ht="13.5" customHeight="1" x14ac:dyDescent="0.25"/>
    <row r="828" s="8" customFormat="1" ht="13.5" customHeight="1" x14ac:dyDescent="0.25"/>
    <row r="829" s="8" customFormat="1" ht="13.5" customHeight="1" x14ac:dyDescent="0.25"/>
    <row r="830" s="8" customFormat="1" ht="13.5" customHeight="1" x14ac:dyDescent="0.25"/>
    <row r="831" s="8" customFormat="1" ht="13.5" customHeight="1" x14ac:dyDescent="0.25"/>
    <row r="832" s="8" customFormat="1" ht="13.5" customHeight="1" x14ac:dyDescent="0.25"/>
    <row r="833" s="8" customFormat="1" ht="13.5" customHeight="1" x14ac:dyDescent="0.25"/>
    <row r="834" s="8" customFormat="1" ht="13.5" customHeight="1" x14ac:dyDescent="0.25"/>
    <row r="835" s="8" customFormat="1" ht="13.5" customHeight="1" x14ac:dyDescent="0.25"/>
    <row r="836" s="8" customFormat="1" ht="13.5" customHeight="1" x14ac:dyDescent="0.25"/>
    <row r="837" s="8" customFormat="1" ht="13.5" customHeight="1" x14ac:dyDescent="0.25"/>
    <row r="838" s="8" customFormat="1" ht="13.5" customHeight="1" x14ac:dyDescent="0.25"/>
    <row r="839" s="8" customFormat="1" ht="13.5" customHeight="1" x14ac:dyDescent="0.25"/>
    <row r="840" s="8" customFormat="1" ht="13.5" customHeight="1" x14ac:dyDescent="0.25"/>
    <row r="841" s="8" customFormat="1" ht="13.5" customHeight="1" x14ac:dyDescent="0.25"/>
    <row r="842" s="8" customFormat="1" ht="13.5" customHeight="1" x14ac:dyDescent="0.25"/>
    <row r="843" s="8" customFormat="1" ht="13.5" customHeight="1" x14ac:dyDescent="0.25"/>
    <row r="844" s="8" customFormat="1" ht="13.5" customHeight="1" x14ac:dyDescent="0.25"/>
    <row r="845" s="8" customFormat="1" ht="13.5" customHeight="1" x14ac:dyDescent="0.25"/>
    <row r="846" s="8" customFormat="1" ht="13.5" customHeight="1" x14ac:dyDescent="0.25"/>
    <row r="847" s="8" customFormat="1" ht="13.5" customHeight="1" x14ac:dyDescent="0.25"/>
    <row r="848" s="8" customFormat="1" ht="13.5" customHeight="1" x14ac:dyDescent="0.25"/>
    <row r="849" s="8" customFormat="1" ht="13.5" customHeight="1" x14ac:dyDescent="0.25"/>
    <row r="850" s="8" customFormat="1" ht="13.5" customHeight="1" x14ac:dyDescent="0.25"/>
    <row r="851" s="8" customFormat="1" ht="13.5" customHeight="1" x14ac:dyDescent="0.25"/>
    <row r="852" s="8" customFormat="1" ht="13.5" customHeight="1" x14ac:dyDescent="0.25"/>
    <row r="853" s="8" customFormat="1" ht="13.5" customHeight="1" x14ac:dyDescent="0.25"/>
    <row r="854" s="8" customFormat="1" ht="13.5" customHeight="1" x14ac:dyDescent="0.25"/>
    <row r="855" s="8" customFormat="1" ht="13.5" customHeight="1" x14ac:dyDescent="0.25"/>
    <row r="856" s="8" customFormat="1" ht="13.5" customHeight="1" x14ac:dyDescent="0.25"/>
    <row r="857" s="8" customFormat="1" ht="13.5" customHeight="1" x14ac:dyDescent="0.25"/>
    <row r="858" s="8" customFormat="1" ht="13.5" customHeight="1" x14ac:dyDescent="0.25"/>
    <row r="859" s="8" customFormat="1" ht="13.5" customHeight="1" x14ac:dyDescent="0.25"/>
    <row r="860" s="8" customFormat="1" ht="13.5" customHeight="1" x14ac:dyDescent="0.25"/>
    <row r="861" s="8" customFormat="1" ht="13.5" customHeight="1" x14ac:dyDescent="0.25"/>
    <row r="862" s="8" customFormat="1" ht="13.5" customHeight="1" x14ac:dyDescent="0.25"/>
    <row r="863" s="8" customFormat="1" ht="13.5" customHeight="1" x14ac:dyDescent="0.25"/>
    <row r="864" s="8" customFormat="1" ht="13.5" customHeight="1" x14ac:dyDescent="0.25"/>
    <row r="865" s="8" customFormat="1" ht="13.5" customHeight="1" x14ac:dyDescent="0.25"/>
    <row r="866" s="8" customFormat="1" ht="13.5" customHeight="1" x14ac:dyDescent="0.25"/>
    <row r="867" s="8" customFormat="1" ht="13.5" customHeight="1" x14ac:dyDescent="0.25"/>
    <row r="868" s="8" customFormat="1" ht="13.5" customHeight="1" x14ac:dyDescent="0.25"/>
    <row r="869" s="8" customFormat="1" ht="13.5" customHeight="1" x14ac:dyDescent="0.25"/>
    <row r="870" s="8" customFormat="1" ht="13.5" customHeight="1" x14ac:dyDescent="0.25"/>
    <row r="871" s="8" customFormat="1" ht="13.5" customHeight="1" x14ac:dyDescent="0.25"/>
    <row r="872" s="8" customFormat="1" ht="13.5" customHeight="1" x14ac:dyDescent="0.25"/>
    <row r="873" s="8" customFormat="1" ht="13.5" customHeight="1" x14ac:dyDescent="0.25"/>
    <row r="874" s="8" customFormat="1" ht="13.5" customHeight="1" x14ac:dyDescent="0.25"/>
    <row r="875" s="8" customFormat="1" ht="13.5" customHeight="1" x14ac:dyDescent="0.25"/>
    <row r="876" s="8" customFormat="1" ht="13.5" customHeight="1" x14ac:dyDescent="0.25"/>
    <row r="877" s="8" customFormat="1" ht="13.5" customHeight="1" x14ac:dyDescent="0.25"/>
    <row r="878" s="8" customFormat="1" ht="13.5" customHeight="1" x14ac:dyDescent="0.25"/>
    <row r="879" s="8" customFormat="1" ht="13.5" customHeight="1" x14ac:dyDescent="0.25"/>
    <row r="880" s="8" customFormat="1" ht="13.5" customHeight="1" x14ac:dyDescent="0.25"/>
    <row r="881" s="8" customFormat="1" ht="13.5" customHeight="1" x14ac:dyDescent="0.25"/>
    <row r="882" s="8" customFormat="1" ht="13.5" customHeight="1" x14ac:dyDescent="0.25"/>
    <row r="883" s="8" customFormat="1" ht="13.5" customHeight="1" x14ac:dyDescent="0.25"/>
    <row r="884" s="8" customFormat="1" ht="13.5" customHeight="1" x14ac:dyDescent="0.25"/>
    <row r="885" s="8" customFormat="1" ht="13.5" customHeight="1" x14ac:dyDescent="0.25"/>
    <row r="886" s="8" customFormat="1" ht="13.5" customHeight="1" x14ac:dyDescent="0.25"/>
    <row r="887" s="8" customFormat="1" ht="13.5" customHeight="1" x14ac:dyDescent="0.25"/>
    <row r="888" s="8" customFormat="1" ht="13.5" customHeight="1" x14ac:dyDescent="0.25"/>
    <row r="889" s="8" customFormat="1" ht="13.5" customHeight="1" x14ac:dyDescent="0.25"/>
    <row r="890" s="8" customFormat="1" ht="13.5" customHeight="1" x14ac:dyDescent="0.25"/>
    <row r="891" s="8" customFormat="1" ht="13.5" customHeight="1" x14ac:dyDescent="0.25"/>
    <row r="892" s="8" customFormat="1" ht="13.5" customHeight="1" x14ac:dyDescent="0.25"/>
    <row r="893" s="8" customFormat="1" ht="13.5" customHeight="1" x14ac:dyDescent="0.25"/>
    <row r="894" s="8" customFormat="1" ht="13.5" customHeight="1" x14ac:dyDescent="0.25"/>
    <row r="895" s="8" customFormat="1" ht="13.5" customHeight="1" x14ac:dyDescent="0.25"/>
    <row r="896" s="8" customFormat="1" ht="13.5" customHeight="1" x14ac:dyDescent="0.25"/>
    <row r="897" s="8" customFormat="1" ht="13.5" customHeight="1" x14ac:dyDescent="0.25"/>
    <row r="898" s="8" customFormat="1" ht="13.5" customHeight="1" x14ac:dyDescent="0.25"/>
    <row r="899" s="8" customFormat="1" ht="13.5" customHeight="1" x14ac:dyDescent="0.25"/>
    <row r="900" s="8" customFormat="1" ht="13.5" customHeight="1" x14ac:dyDescent="0.25"/>
    <row r="901" s="8" customFormat="1" ht="13.5" customHeight="1" x14ac:dyDescent="0.25"/>
    <row r="902" s="8" customFormat="1" ht="13.5" customHeight="1" x14ac:dyDescent="0.25"/>
    <row r="903" s="8" customFormat="1" ht="13.5" customHeight="1" x14ac:dyDescent="0.25"/>
    <row r="904" s="8" customFormat="1" ht="13.5" customHeight="1" x14ac:dyDescent="0.25"/>
    <row r="905" s="8" customFormat="1" ht="13.5" customHeight="1" x14ac:dyDescent="0.25"/>
    <row r="906" s="8" customFormat="1" ht="13.5" customHeight="1" x14ac:dyDescent="0.25"/>
    <row r="907" s="8" customFormat="1" ht="13.5" customHeight="1" x14ac:dyDescent="0.25"/>
    <row r="908" s="8" customFormat="1" ht="13.5" customHeight="1" x14ac:dyDescent="0.25"/>
    <row r="909" s="8" customFormat="1" ht="13.5" customHeight="1" x14ac:dyDescent="0.25"/>
    <row r="910" s="8" customFormat="1" ht="13.5" customHeight="1" x14ac:dyDescent="0.25"/>
    <row r="911" s="8" customFormat="1" ht="13.5" customHeight="1" x14ac:dyDescent="0.25"/>
    <row r="912" s="8" customFormat="1" ht="13.5" customHeight="1" x14ac:dyDescent="0.25"/>
    <row r="913" s="8" customFormat="1" ht="13.5" customHeight="1" x14ac:dyDescent="0.25"/>
    <row r="914" s="8" customFormat="1" ht="13.5" customHeight="1" x14ac:dyDescent="0.25"/>
    <row r="915" s="8" customFormat="1" ht="13.5" customHeight="1" x14ac:dyDescent="0.25"/>
    <row r="916" s="8" customFormat="1" ht="13.5" customHeight="1" x14ac:dyDescent="0.25"/>
    <row r="917" s="8" customFormat="1" ht="13.5" customHeight="1" x14ac:dyDescent="0.25"/>
    <row r="918" s="8" customFormat="1" ht="13.5" customHeight="1" x14ac:dyDescent="0.25"/>
    <row r="919" s="8" customFormat="1" ht="13.5" customHeight="1" x14ac:dyDescent="0.25"/>
    <row r="920" s="8" customFormat="1" ht="13.5" customHeight="1" x14ac:dyDescent="0.25"/>
    <row r="921" s="8" customFormat="1" ht="13.5" customHeight="1" x14ac:dyDescent="0.25"/>
    <row r="922" s="8" customFormat="1" ht="13.5" customHeight="1" x14ac:dyDescent="0.25"/>
    <row r="923" s="8" customFormat="1" ht="13.5" customHeight="1" x14ac:dyDescent="0.25"/>
    <row r="924" s="8" customFormat="1" ht="13.5" customHeight="1" x14ac:dyDescent="0.25"/>
    <row r="925" s="8" customFormat="1" ht="13.5" customHeight="1" x14ac:dyDescent="0.25"/>
    <row r="926" s="8" customFormat="1" ht="13.5" customHeight="1" x14ac:dyDescent="0.25"/>
    <row r="927" s="8" customFormat="1" ht="13.5" customHeight="1" x14ac:dyDescent="0.25"/>
    <row r="928" s="8" customFormat="1" ht="13.5" customHeight="1" x14ac:dyDescent="0.25"/>
    <row r="929" s="8" customFormat="1" ht="13.5" customHeight="1" x14ac:dyDescent="0.25"/>
    <row r="930" s="8" customFormat="1" ht="13.5" customHeight="1" x14ac:dyDescent="0.25"/>
    <row r="931" s="8" customFormat="1" ht="13.5" customHeight="1" x14ac:dyDescent="0.25"/>
    <row r="932" s="8" customFormat="1" ht="13.5" customHeight="1" x14ac:dyDescent="0.25"/>
    <row r="933" s="8" customFormat="1" ht="13.5" customHeight="1" x14ac:dyDescent="0.25"/>
    <row r="934" s="8" customFormat="1" ht="13.5" customHeight="1" x14ac:dyDescent="0.25"/>
    <row r="935" s="8" customFormat="1" ht="13.5" customHeight="1" x14ac:dyDescent="0.25"/>
    <row r="936" s="8" customFormat="1" ht="13.5" customHeight="1" x14ac:dyDescent="0.25"/>
    <row r="937" s="8" customFormat="1" ht="13.5" customHeight="1" x14ac:dyDescent="0.25"/>
    <row r="938" s="8" customFormat="1" ht="13.5" customHeight="1" x14ac:dyDescent="0.25"/>
    <row r="939" s="8" customFormat="1" ht="13.5" customHeight="1" x14ac:dyDescent="0.25"/>
    <row r="940" s="8" customFormat="1" ht="13.5" customHeight="1" x14ac:dyDescent="0.25"/>
    <row r="941" s="8" customFormat="1" ht="13.5" customHeight="1" x14ac:dyDescent="0.25"/>
    <row r="942" s="8" customFormat="1" ht="13.5" customHeight="1" x14ac:dyDescent="0.25"/>
    <row r="943" s="8" customFormat="1" ht="13.5" customHeight="1" x14ac:dyDescent="0.25"/>
    <row r="944" s="8" customFormat="1" ht="13.5" customHeight="1" x14ac:dyDescent="0.25"/>
    <row r="945" s="8" customFormat="1" ht="13.5" customHeight="1" x14ac:dyDescent="0.25"/>
    <row r="946" s="8" customFormat="1" ht="13.5" customHeight="1" x14ac:dyDescent="0.25"/>
    <row r="947" s="8" customFormat="1" ht="13.5" customHeight="1" x14ac:dyDescent="0.25"/>
    <row r="948" s="8" customFormat="1" ht="13.5" customHeight="1" x14ac:dyDescent="0.25"/>
    <row r="949" s="8" customFormat="1" ht="13.5" customHeight="1" x14ac:dyDescent="0.25"/>
    <row r="950" s="8" customFormat="1" ht="13.5" customHeight="1" x14ac:dyDescent="0.25"/>
    <row r="951" s="8" customFormat="1" ht="13.5" customHeight="1" x14ac:dyDescent="0.25"/>
    <row r="952" s="8" customFormat="1" ht="13.5" customHeight="1" x14ac:dyDescent="0.25"/>
    <row r="953" s="8" customFormat="1" ht="13.5" customHeight="1" x14ac:dyDescent="0.25"/>
    <row r="954" s="8" customFormat="1" ht="13.5" customHeight="1" x14ac:dyDescent="0.25"/>
    <row r="955" s="8" customFormat="1" ht="13.5" customHeight="1" x14ac:dyDescent="0.25"/>
    <row r="956" s="8" customFormat="1" ht="13.5" customHeight="1" x14ac:dyDescent="0.25"/>
    <row r="957" s="8" customFormat="1" ht="13.5" customHeight="1" x14ac:dyDescent="0.25"/>
    <row r="958" s="8" customFormat="1" ht="13.5" customHeight="1" x14ac:dyDescent="0.25"/>
    <row r="959" s="8" customFormat="1" ht="13.5" customHeight="1" x14ac:dyDescent="0.25"/>
    <row r="960" s="8" customFormat="1" ht="13.5" customHeight="1" x14ac:dyDescent="0.25"/>
    <row r="961" s="8" customFormat="1" ht="13.5" customHeight="1" x14ac:dyDescent="0.25"/>
    <row r="962" s="8" customFormat="1" ht="13.5" customHeight="1" x14ac:dyDescent="0.25"/>
    <row r="963" s="8" customFormat="1" ht="13.5" customHeight="1" x14ac:dyDescent="0.25"/>
    <row r="964" s="8" customFormat="1" ht="13.5" customHeight="1" x14ac:dyDescent="0.25"/>
    <row r="965" s="8" customFormat="1" ht="13.5" customHeight="1" x14ac:dyDescent="0.25"/>
    <row r="966" s="8" customFormat="1" ht="13.5" customHeight="1" x14ac:dyDescent="0.25"/>
    <row r="967" s="8" customFormat="1" ht="13.5" customHeight="1" x14ac:dyDescent="0.25"/>
    <row r="968" s="8" customFormat="1" ht="13.5" customHeight="1" x14ac:dyDescent="0.25"/>
    <row r="969" s="8" customFormat="1" ht="13.5" customHeight="1" x14ac:dyDescent="0.25"/>
    <row r="970" s="8" customFormat="1" ht="13.5" customHeight="1" x14ac:dyDescent="0.25"/>
    <row r="971" s="8" customFormat="1" ht="13.5" customHeight="1" x14ac:dyDescent="0.25"/>
    <row r="972" s="8" customFormat="1" ht="13.5" customHeight="1" x14ac:dyDescent="0.25"/>
    <row r="973" s="8" customFormat="1" ht="13.5" customHeight="1" x14ac:dyDescent="0.25"/>
    <row r="974" s="8" customFormat="1" ht="13.5" customHeight="1" x14ac:dyDescent="0.25"/>
    <row r="975" s="8" customFormat="1" ht="13.5" customHeight="1" x14ac:dyDescent="0.25"/>
    <row r="976" s="8" customFormat="1" ht="13.5" customHeight="1" x14ac:dyDescent="0.25"/>
    <row r="977" s="8" customFormat="1" ht="13.5" customHeight="1" x14ac:dyDescent="0.25"/>
    <row r="978" s="8" customFormat="1" ht="13.5" customHeight="1" x14ac:dyDescent="0.25"/>
    <row r="979" s="8" customFormat="1" ht="13.5" customHeight="1" x14ac:dyDescent="0.25"/>
    <row r="980" s="8" customFormat="1" ht="13.5" customHeight="1" x14ac:dyDescent="0.25"/>
    <row r="981" s="8" customFormat="1" ht="13.5" customHeight="1" x14ac:dyDescent="0.25"/>
    <row r="982" s="8" customFormat="1" ht="13.5" customHeight="1" x14ac:dyDescent="0.25"/>
    <row r="983" s="8" customFormat="1" ht="13.5" customHeight="1" x14ac:dyDescent="0.25"/>
    <row r="984" s="8" customFormat="1" ht="13.5" customHeight="1" x14ac:dyDescent="0.25"/>
    <row r="985" s="8" customFormat="1" ht="13.5" customHeight="1" x14ac:dyDescent="0.25"/>
    <row r="986" s="8" customFormat="1" ht="13.5" customHeight="1" x14ac:dyDescent="0.25"/>
    <row r="987" s="8" customFormat="1" ht="13.5" customHeight="1" x14ac:dyDescent="0.25"/>
    <row r="988" s="8" customFormat="1" ht="13.5" customHeight="1" x14ac:dyDescent="0.25"/>
    <row r="989" s="8" customFormat="1" ht="13.5" customHeight="1" x14ac:dyDescent="0.25"/>
    <row r="990" s="8" customFormat="1" ht="13.5" customHeight="1" x14ac:dyDescent="0.25"/>
    <row r="991" s="8" customFormat="1" ht="13.5" customHeight="1" x14ac:dyDescent="0.25"/>
    <row r="992" s="8" customFormat="1" ht="13.5" customHeight="1" x14ac:dyDescent="0.25"/>
    <row r="993" s="8" customFormat="1" ht="13.5" customHeight="1" x14ac:dyDescent="0.25"/>
    <row r="994" s="8" customFormat="1" ht="13.5" customHeight="1" x14ac:dyDescent="0.25"/>
    <row r="995" s="8" customFormat="1" ht="13.5" customHeight="1" x14ac:dyDescent="0.25"/>
    <row r="996" s="8" customFormat="1" ht="13.5" customHeight="1" x14ac:dyDescent="0.25"/>
    <row r="997" s="8" customFormat="1" ht="13.5" customHeight="1" x14ac:dyDescent="0.25"/>
    <row r="998" s="8" customFormat="1" ht="13.5" customHeight="1" x14ac:dyDescent="0.25"/>
    <row r="999" s="8" customFormat="1" ht="13.5" customHeight="1" x14ac:dyDescent="0.25"/>
    <row r="1000" s="8" customFormat="1" ht="13.5" customHeight="1" x14ac:dyDescent="0.25"/>
    <row r="1001" s="8" customFormat="1" ht="13.5" customHeight="1" x14ac:dyDescent="0.25"/>
    <row r="1002" s="8" customFormat="1" ht="13.5" customHeight="1" x14ac:dyDescent="0.25"/>
  </sheetData>
  <mergeCells count="1">
    <mergeCell ref="C1:D1"/>
  </mergeCells>
  <hyperlinks>
    <hyperlink ref="I3" r:id="rId1" xr:uid="{00000000-0004-0000-0000-000000000000}"/>
    <hyperlink ref="I4" r:id="rId2" xr:uid="{00000000-0004-0000-0000-000001000000}"/>
    <hyperlink ref="I8" r:id="rId3" xr:uid="{00000000-0004-0000-0000-000002000000}"/>
  </hyperlinks>
  <pageMargins left="0.7" right="0.7" top="0.75" bottom="0.75" header="0.511811023622047" footer="0.511811023622047"/>
  <pageSetup orientation="landscape" horizontalDpi="300" verticalDpi="300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80"/>
  <sheetViews>
    <sheetView topLeftCell="A30" zoomScaleNormal="100" workbookViewId="0">
      <selection activeCell="A2" sqref="A2"/>
    </sheetView>
  </sheetViews>
  <sheetFormatPr baseColWidth="10" defaultColWidth="12.625" defaultRowHeight="15" x14ac:dyDescent="0.25"/>
  <cols>
    <col min="1" max="1" width="65.625" style="8" customWidth="1"/>
    <col min="2" max="37" width="3.75" style="8" customWidth="1"/>
    <col min="38" max="16384" width="12.625" style="8"/>
  </cols>
  <sheetData>
    <row r="1" spans="1:14" ht="17.25" x14ac:dyDescent="0.3">
      <c r="A1" s="19" t="s">
        <v>26</v>
      </c>
      <c r="B1" s="11">
        <v>1</v>
      </c>
      <c r="C1" s="11">
        <v>2</v>
      </c>
      <c r="D1" s="11">
        <v>3</v>
      </c>
      <c r="E1" s="11">
        <v>4</v>
      </c>
      <c r="F1" s="11">
        <v>5</v>
      </c>
      <c r="G1" s="11">
        <v>6</v>
      </c>
      <c r="H1" s="11">
        <v>7</v>
      </c>
      <c r="I1" s="11">
        <v>8</v>
      </c>
      <c r="J1" s="11">
        <v>9</v>
      </c>
      <c r="K1" s="11">
        <v>10</v>
      </c>
      <c r="L1" s="11">
        <v>11</v>
      </c>
      <c r="M1" s="11">
        <v>12</v>
      </c>
      <c r="N1" s="11">
        <v>13</v>
      </c>
    </row>
    <row r="2" spans="1:14" x14ac:dyDescent="0.25">
      <c r="A2" s="17" t="s">
        <v>27</v>
      </c>
      <c r="B2" s="20" t="s">
        <v>28</v>
      </c>
      <c r="C2" s="20"/>
      <c r="D2" s="20"/>
      <c r="E2" s="20" t="s">
        <v>29</v>
      </c>
      <c r="F2" s="20"/>
      <c r="G2" s="20"/>
      <c r="H2" s="20"/>
      <c r="I2" s="20"/>
      <c r="J2" s="20" t="s">
        <v>30</v>
      </c>
      <c r="K2" s="20"/>
      <c r="L2" s="20"/>
      <c r="M2" s="20"/>
      <c r="N2" s="11" t="s">
        <v>31</v>
      </c>
    </row>
    <row r="3" spans="1:14" x14ac:dyDescent="0.25">
      <c r="A3" s="21" t="s">
        <v>32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</row>
    <row r="4" spans="1:14" x14ac:dyDescent="0.25">
      <c r="A4" s="17" t="s">
        <v>33</v>
      </c>
      <c r="B4" s="23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</row>
    <row r="5" spans="1:14" x14ac:dyDescent="0.25">
      <c r="A5" s="17" t="s">
        <v>34</v>
      </c>
      <c r="B5" s="23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</row>
    <row r="6" spans="1:14" x14ac:dyDescent="0.25">
      <c r="A6" s="17" t="s">
        <v>35</v>
      </c>
      <c r="B6" s="23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</row>
    <row r="7" spans="1:14" x14ac:dyDescent="0.25">
      <c r="A7" s="17" t="s">
        <v>36</v>
      </c>
      <c r="B7" s="23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</row>
    <row r="8" spans="1:14" x14ac:dyDescent="0.25">
      <c r="A8" s="17" t="s">
        <v>37</v>
      </c>
      <c r="B8" s="23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</row>
    <row r="9" spans="1:14" x14ac:dyDescent="0.25">
      <c r="A9" s="21" t="s">
        <v>38</v>
      </c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</row>
    <row r="10" spans="1:14" x14ac:dyDescent="0.25">
      <c r="A10" s="17" t="s">
        <v>39</v>
      </c>
      <c r="B10" s="17"/>
      <c r="C10" s="23"/>
      <c r="D10" s="23"/>
      <c r="E10" s="17"/>
      <c r="F10" s="17"/>
      <c r="G10" s="17"/>
      <c r="H10" s="17"/>
      <c r="I10" s="17"/>
      <c r="J10" s="17"/>
      <c r="K10" s="17"/>
      <c r="L10" s="17"/>
      <c r="M10" s="17"/>
      <c r="N10" s="17"/>
    </row>
    <row r="11" spans="1:14" x14ac:dyDescent="0.25">
      <c r="A11" s="17" t="s">
        <v>40</v>
      </c>
      <c r="B11" s="17"/>
      <c r="C11" s="23"/>
      <c r="D11" s="23"/>
      <c r="E11" s="17"/>
      <c r="F11" s="17"/>
      <c r="G11" s="17"/>
      <c r="H11" s="17"/>
      <c r="I11" s="17"/>
      <c r="J11" s="17"/>
      <c r="K11" s="17"/>
      <c r="L11" s="17"/>
      <c r="M11" s="17"/>
      <c r="N11" s="17"/>
    </row>
    <row r="12" spans="1:14" x14ac:dyDescent="0.25">
      <c r="A12" s="17" t="s">
        <v>41</v>
      </c>
      <c r="B12" s="17"/>
      <c r="C12" s="23"/>
      <c r="D12" s="23"/>
      <c r="E12" s="23"/>
      <c r="F12" s="17"/>
      <c r="G12" s="17"/>
      <c r="H12" s="17"/>
      <c r="I12" s="17"/>
      <c r="J12" s="17"/>
      <c r="K12" s="17"/>
      <c r="L12" s="17"/>
      <c r="M12" s="17"/>
      <c r="N12" s="17"/>
    </row>
    <row r="13" spans="1:14" x14ac:dyDescent="0.25">
      <c r="A13" s="17" t="s">
        <v>42</v>
      </c>
      <c r="B13" s="17"/>
      <c r="C13" s="23"/>
      <c r="D13" s="23"/>
      <c r="E13" s="23"/>
      <c r="F13" s="17"/>
      <c r="G13" s="17"/>
      <c r="H13" s="17"/>
      <c r="I13" s="17"/>
      <c r="J13" s="17"/>
      <c r="K13" s="17"/>
      <c r="L13" s="17"/>
      <c r="M13" s="17"/>
      <c r="N13" s="17"/>
    </row>
    <row r="14" spans="1:14" x14ac:dyDescent="0.25">
      <c r="A14" s="17" t="s">
        <v>43</v>
      </c>
      <c r="B14" s="17"/>
      <c r="C14" s="17"/>
      <c r="D14" s="23"/>
      <c r="E14" s="23"/>
      <c r="F14" s="17"/>
      <c r="G14" s="17"/>
      <c r="H14" s="17"/>
      <c r="I14" s="17"/>
      <c r="J14" s="17"/>
      <c r="K14" s="17"/>
      <c r="L14" s="17"/>
      <c r="M14" s="17"/>
      <c r="N14" s="17"/>
    </row>
    <row r="15" spans="1:14" x14ac:dyDescent="0.25">
      <c r="A15" s="17" t="s">
        <v>44</v>
      </c>
      <c r="B15" s="17"/>
      <c r="C15" s="17"/>
      <c r="D15" s="23"/>
      <c r="E15" s="23"/>
      <c r="F15" s="17"/>
      <c r="G15" s="17"/>
      <c r="H15" s="17"/>
      <c r="I15" s="17"/>
      <c r="J15" s="17"/>
      <c r="K15" s="17"/>
      <c r="L15" s="17"/>
      <c r="M15" s="17"/>
      <c r="N15" s="17"/>
    </row>
    <row r="16" spans="1:14" x14ac:dyDescent="0.25">
      <c r="A16" s="17" t="s">
        <v>45</v>
      </c>
      <c r="B16" s="17"/>
      <c r="C16" s="17"/>
      <c r="D16" s="17"/>
      <c r="E16" s="23"/>
      <c r="F16" s="17"/>
      <c r="G16" s="17"/>
      <c r="H16" s="17"/>
      <c r="I16" s="17"/>
      <c r="J16" s="17"/>
      <c r="K16" s="17"/>
      <c r="L16" s="17"/>
      <c r="M16" s="17"/>
      <c r="N16" s="17"/>
    </row>
    <row r="17" spans="1:14" x14ac:dyDescent="0.25">
      <c r="A17" s="21" t="s">
        <v>46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</row>
    <row r="18" spans="1:14" x14ac:dyDescent="0.25">
      <c r="A18" s="17" t="s">
        <v>47</v>
      </c>
      <c r="B18" s="17"/>
      <c r="C18" s="17"/>
      <c r="D18" s="17"/>
      <c r="E18" s="23"/>
      <c r="F18" s="23"/>
      <c r="G18" s="17"/>
      <c r="H18" s="17"/>
      <c r="I18" s="17"/>
      <c r="J18" s="17"/>
      <c r="K18" s="17"/>
      <c r="L18" s="17"/>
      <c r="M18" s="17"/>
      <c r="N18" s="17"/>
    </row>
    <row r="19" spans="1:14" x14ac:dyDescent="0.25">
      <c r="A19" s="17" t="s">
        <v>48</v>
      </c>
      <c r="B19" s="17"/>
      <c r="C19" s="17"/>
      <c r="D19" s="17"/>
      <c r="E19" s="23"/>
      <c r="F19" s="23"/>
      <c r="G19" s="23"/>
      <c r="H19" s="17"/>
      <c r="I19" s="17"/>
      <c r="J19" s="17"/>
      <c r="K19" s="17"/>
      <c r="L19" s="17"/>
      <c r="M19" s="17"/>
      <c r="N19" s="17"/>
    </row>
    <row r="20" spans="1:14" x14ac:dyDescent="0.25">
      <c r="A20" s="17" t="s">
        <v>49</v>
      </c>
      <c r="B20" s="17"/>
      <c r="C20" s="17"/>
      <c r="D20" s="17"/>
      <c r="E20" s="23"/>
      <c r="F20" s="23"/>
      <c r="G20" s="23"/>
      <c r="H20" s="17"/>
      <c r="I20" s="17"/>
      <c r="J20" s="17"/>
      <c r="K20" s="17"/>
      <c r="L20" s="17"/>
      <c r="M20" s="17"/>
      <c r="N20" s="17"/>
    </row>
    <row r="21" spans="1:14" x14ac:dyDescent="0.25">
      <c r="A21" s="17" t="s">
        <v>50</v>
      </c>
      <c r="B21" s="17"/>
      <c r="C21" s="17"/>
      <c r="D21" s="17"/>
      <c r="E21" s="17"/>
      <c r="F21" s="23"/>
      <c r="G21" s="23"/>
      <c r="H21" s="17"/>
      <c r="I21" s="17"/>
      <c r="J21" s="17"/>
      <c r="K21" s="17"/>
      <c r="L21" s="17"/>
      <c r="M21" s="17"/>
      <c r="N21" s="17"/>
    </row>
    <row r="22" spans="1:14" x14ac:dyDescent="0.25">
      <c r="A22" s="17" t="s">
        <v>51</v>
      </c>
      <c r="B22" s="17"/>
      <c r="C22" s="17"/>
      <c r="D22" s="17"/>
      <c r="E22" s="17"/>
      <c r="F22" s="17"/>
      <c r="G22" s="23"/>
      <c r="H22" s="23"/>
      <c r="I22" s="23"/>
      <c r="J22" s="17"/>
      <c r="K22" s="17"/>
      <c r="L22" s="17"/>
      <c r="M22" s="17"/>
      <c r="N22" s="17"/>
    </row>
    <row r="23" spans="1:14" x14ac:dyDescent="0.25">
      <c r="A23" s="17" t="s">
        <v>52</v>
      </c>
      <c r="B23" s="17"/>
      <c r="C23" s="17"/>
      <c r="D23" s="17"/>
      <c r="E23" s="17"/>
      <c r="F23" s="17"/>
      <c r="G23" s="23"/>
      <c r="H23" s="23"/>
      <c r="I23" s="23"/>
      <c r="J23" s="17"/>
      <c r="K23" s="17"/>
      <c r="L23" s="17"/>
      <c r="M23" s="17"/>
      <c r="N23" s="17"/>
    </row>
    <row r="24" spans="1:14" x14ac:dyDescent="0.25">
      <c r="A24" s="17" t="s">
        <v>53</v>
      </c>
      <c r="B24" s="17"/>
      <c r="C24" s="17"/>
      <c r="D24" s="17"/>
      <c r="E24" s="17"/>
      <c r="F24" s="17"/>
      <c r="G24" s="23"/>
      <c r="H24" s="23"/>
      <c r="I24" s="23"/>
      <c r="J24" s="17"/>
      <c r="K24" s="17"/>
      <c r="L24" s="17"/>
      <c r="M24" s="17"/>
      <c r="N24" s="17"/>
    </row>
    <row r="25" spans="1:14" x14ac:dyDescent="0.25">
      <c r="A25" s="17" t="s">
        <v>54</v>
      </c>
      <c r="B25" s="17"/>
      <c r="C25" s="17"/>
      <c r="D25" s="17"/>
      <c r="E25" s="17"/>
      <c r="F25" s="17"/>
      <c r="G25" s="17"/>
      <c r="H25" s="23"/>
      <c r="I25" s="23"/>
      <c r="J25" s="17"/>
      <c r="K25" s="17"/>
      <c r="L25" s="17"/>
      <c r="M25" s="17"/>
      <c r="N25" s="17"/>
    </row>
    <row r="26" spans="1:14" x14ac:dyDescent="0.25">
      <c r="A26" s="17" t="s">
        <v>55</v>
      </c>
      <c r="B26" s="17"/>
      <c r="C26" s="17"/>
      <c r="D26" s="17"/>
      <c r="E26" s="17"/>
      <c r="F26" s="17"/>
      <c r="G26" s="17"/>
      <c r="H26" s="23"/>
      <c r="I26" s="23"/>
      <c r="J26" s="17"/>
      <c r="K26" s="17"/>
      <c r="L26" s="17"/>
      <c r="M26" s="17"/>
      <c r="N26" s="17"/>
    </row>
    <row r="27" spans="1:14" x14ac:dyDescent="0.25">
      <c r="A27" s="17" t="s">
        <v>56</v>
      </c>
      <c r="B27" s="17"/>
      <c r="C27" s="17"/>
      <c r="D27" s="17"/>
      <c r="E27" s="17"/>
      <c r="F27" s="17"/>
      <c r="G27" s="17"/>
      <c r="H27" s="17"/>
      <c r="I27" s="23"/>
      <c r="J27" s="23"/>
      <c r="K27" s="17"/>
      <c r="L27" s="17"/>
      <c r="M27" s="17"/>
      <c r="N27" s="17"/>
    </row>
    <row r="28" spans="1:14" x14ac:dyDescent="0.25">
      <c r="A28" s="17" t="s">
        <v>57</v>
      </c>
      <c r="B28" s="17"/>
      <c r="C28" s="17"/>
      <c r="D28" s="17"/>
      <c r="E28" s="17"/>
      <c r="F28" s="17"/>
      <c r="G28" s="17"/>
      <c r="H28" s="17"/>
      <c r="I28" s="23"/>
      <c r="J28" s="23"/>
      <c r="K28" s="23"/>
      <c r="L28" s="17"/>
      <c r="M28" s="17"/>
      <c r="N28" s="17"/>
    </row>
    <row r="29" spans="1:14" x14ac:dyDescent="0.25">
      <c r="A29" s="17" t="s">
        <v>58</v>
      </c>
      <c r="B29" s="17"/>
      <c r="C29" s="17"/>
      <c r="D29" s="17"/>
      <c r="E29" s="17"/>
      <c r="F29" s="17"/>
      <c r="G29" s="17"/>
      <c r="H29" s="17"/>
      <c r="I29" s="23"/>
      <c r="J29" s="23"/>
      <c r="K29" s="23"/>
      <c r="L29" s="17"/>
      <c r="M29" s="17"/>
      <c r="N29" s="17"/>
    </row>
    <row r="30" spans="1:14" x14ac:dyDescent="0.25">
      <c r="A30" s="17" t="s">
        <v>59</v>
      </c>
      <c r="B30" s="17"/>
      <c r="C30" s="17"/>
      <c r="D30" s="17"/>
      <c r="E30" s="17"/>
      <c r="F30" s="17"/>
      <c r="G30" s="17"/>
      <c r="H30" s="17"/>
      <c r="I30" s="23"/>
      <c r="J30" s="23"/>
      <c r="K30" s="23"/>
      <c r="L30" s="17"/>
      <c r="M30" s="17"/>
      <c r="N30" s="17"/>
    </row>
    <row r="31" spans="1:14" x14ac:dyDescent="0.25">
      <c r="A31" s="17" t="s">
        <v>60</v>
      </c>
      <c r="B31" s="17"/>
      <c r="C31" s="17"/>
      <c r="D31" s="17"/>
      <c r="E31" s="17"/>
      <c r="F31" s="17"/>
      <c r="G31" s="17"/>
      <c r="H31" s="17"/>
      <c r="I31" s="17"/>
      <c r="J31" s="23"/>
      <c r="K31" s="23"/>
      <c r="L31" s="17"/>
      <c r="M31" s="17"/>
      <c r="N31" s="17"/>
    </row>
    <row r="32" spans="1:14" x14ac:dyDescent="0.25">
      <c r="A32" s="17" t="s">
        <v>61</v>
      </c>
      <c r="B32" s="17"/>
      <c r="C32" s="17"/>
      <c r="D32" s="17"/>
      <c r="E32" s="17"/>
      <c r="F32" s="17"/>
      <c r="G32" s="17"/>
      <c r="H32" s="17"/>
      <c r="I32" s="17"/>
      <c r="J32" s="23"/>
      <c r="K32" s="23"/>
      <c r="L32" s="17"/>
      <c r="M32" s="17"/>
      <c r="N32" s="17"/>
    </row>
    <row r="33" spans="1:14" x14ac:dyDescent="0.25">
      <c r="A33" s="17" t="s">
        <v>62</v>
      </c>
      <c r="B33" s="17"/>
      <c r="C33" s="17"/>
      <c r="D33" s="17"/>
      <c r="E33" s="17"/>
      <c r="F33" s="17"/>
      <c r="G33" s="17"/>
      <c r="H33" s="17"/>
      <c r="I33" s="17"/>
      <c r="J33" s="23"/>
      <c r="K33" s="23"/>
      <c r="L33" s="17"/>
      <c r="M33" s="17"/>
      <c r="N33" s="17"/>
    </row>
    <row r="34" spans="1:14" x14ac:dyDescent="0.25">
      <c r="A34" s="17" t="s">
        <v>63</v>
      </c>
      <c r="B34" s="17"/>
      <c r="C34" s="17"/>
      <c r="D34" s="17"/>
      <c r="E34" s="17"/>
      <c r="F34" s="17"/>
      <c r="G34" s="23"/>
      <c r="H34" s="23"/>
      <c r="I34" s="23"/>
      <c r="J34" s="23"/>
      <c r="K34" s="23"/>
      <c r="L34" s="17"/>
      <c r="M34" s="17"/>
      <c r="N34" s="17"/>
    </row>
    <row r="35" spans="1:14" x14ac:dyDescent="0.25">
      <c r="A35" s="17" t="s">
        <v>64</v>
      </c>
      <c r="B35" s="17"/>
      <c r="C35" s="17"/>
      <c r="D35" s="17"/>
      <c r="E35" s="17"/>
      <c r="F35" s="17"/>
      <c r="G35" s="23"/>
      <c r="H35" s="23"/>
      <c r="I35" s="23"/>
      <c r="J35" s="23"/>
      <c r="K35" s="23"/>
      <c r="L35" s="17"/>
      <c r="M35" s="17"/>
      <c r="N35" s="17"/>
    </row>
    <row r="36" spans="1:14" x14ac:dyDescent="0.25">
      <c r="A36" s="17" t="s">
        <v>65</v>
      </c>
      <c r="B36" s="17"/>
      <c r="C36" s="17"/>
      <c r="D36" s="17"/>
      <c r="E36" s="17"/>
      <c r="F36" s="17"/>
      <c r="G36" s="17"/>
      <c r="H36" s="23"/>
      <c r="I36" s="23"/>
      <c r="J36" s="23"/>
      <c r="K36" s="23"/>
      <c r="L36" s="23"/>
      <c r="M36" s="17"/>
      <c r="N36" s="17"/>
    </row>
    <row r="37" spans="1:14" x14ac:dyDescent="0.25">
      <c r="A37" s="17" t="s">
        <v>66</v>
      </c>
      <c r="B37" s="17"/>
      <c r="C37" s="17"/>
      <c r="D37" s="17"/>
      <c r="E37" s="23"/>
      <c r="F37" s="23"/>
      <c r="G37" s="23"/>
      <c r="H37" s="23"/>
      <c r="I37" s="23"/>
      <c r="J37" s="23"/>
      <c r="K37" s="23"/>
      <c r="L37" s="17"/>
      <c r="M37" s="17"/>
      <c r="N37" s="17"/>
    </row>
    <row r="38" spans="1:14" x14ac:dyDescent="0.25">
      <c r="A38" s="17" t="s">
        <v>67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23"/>
      <c r="M38" s="17"/>
      <c r="N38" s="17"/>
    </row>
    <row r="39" spans="1:14" x14ac:dyDescent="0.25">
      <c r="A39" s="21" t="s">
        <v>68</v>
      </c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</row>
    <row r="40" spans="1:14" x14ac:dyDescent="0.25">
      <c r="A40" s="17" t="s">
        <v>69</v>
      </c>
      <c r="B40" s="17"/>
      <c r="C40" s="17"/>
      <c r="D40" s="17"/>
      <c r="E40" s="17"/>
      <c r="F40" s="17"/>
      <c r="G40" s="17"/>
      <c r="H40" s="17"/>
      <c r="I40" s="23"/>
      <c r="J40" s="23"/>
      <c r="K40" s="23"/>
      <c r="L40" s="23"/>
      <c r="M40" s="17"/>
      <c r="N40" s="17"/>
    </row>
    <row r="41" spans="1:14" x14ac:dyDescent="0.25">
      <c r="A41" s="17" t="s">
        <v>70</v>
      </c>
      <c r="B41" s="17"/>
      <c r="C41" s="17"/>
      <c r="D41" s="17"/>
      <c r="E41" s="17"/>
      <c r="F41" s="17"/>
      <c r="G41" s="17"/>
      <c r="H41" s="17"/>
      <c r="I41" s="17"/>
      <c r="J41" s="23"/>
      <c r="K41" s="23"/>
      <c r="L41" s="23"/>
      <c r="M41" s="17"/>
      <c r="N41" s="17"/>
    </row>
    <row r="42" spans="1:14" x14ac:dyDescent="0.25">
      <c r="A42" s="17" t="s">
        <v>71</v>
      </c>
      <c r="B42" s="17"/>
      <c r="C42" s="17"/>
      <c r="D42" s="17"/>
      <c r="E42" s="17"/>
      <c r="F42" s="17"/>
      <c r="G42" s="17"/>
      <c r="H42" s="17"/>
      <c r="I42" s="17"/>
      <c r="J42" s="17"/>
      <c r="K42" s="23"/>
      <c r="L42" s="23"/>
      <c r="M42" s="23"/>
      <c r="N42" s="17"/>
    </row>
    <row r="43" spans="1:14" x14ac:dyDescent="0.25">
      <c r="A43" s="17" t="s">
        <v>72</v>
      </c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23"/>
      <c r="M43" s="23"/>
      <c r="N43" s="17"/>
    </row>
    <row r="44" spans="1:14" x14ac:dyDescent="0.25">
      <c r="A44" s="17" t="s">
        <v>73</v>
      </c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23"/>
      <c r="N44" s="17"/>
    </row>
    <row r="45" spans="1:14" x14ac:dyDescent="0.25">
      <c r="A45" s="17" t="s">
        <v>74</v>
      </c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23"/>
      <c r="N45" s="17"/>
    </row>
    <row r="46" spans="1:14" x14ac:dyDescent="0.25">
      <c r="A46" s="17" t="s">
        <v>75</v>
      </c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23"/>
      <c r="N46" s="23"/>
    </row>
    <row r="47" spans="1:14" x14ac:dyDescent="0.25">
      <c r="A47" s="17" t="s">
        <v>76</v>
      </c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23"/>
    </row>
    <row r="48" spans="1:14" x14ac:dyDescent="0.25">
      <c r="A48" s="21" t="s">
        <v>77</v>
      </c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</row>
    <row r="49" spans="1:14" x14ac:dyDescent="0.25">
      <c r="A49" s="17" t="s">
        <v>78</v>
      </c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</row>
    <row r="50" spans="1:14" x14ac:dyDescent="0.25">
      <c r="A50" s="17" t="s">
        <v>79</v>
      </c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</row>
    <row r="51" spans="1:14" x14ac:dyDescent="0.25">
      <c r="A51" s="17" t="s">
        <v>80</v>
      </c>
      <c r="B51" s="17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</row>
    <row r="65" s="8" customFormat="1" x14ac:dyDescent="0.25"/>
    <row r="66" s="8" customFormat="1" x14ac:dyDescent="0.25"/>
    <row r="67" s="8" customFormat="1" x14ac:dyDescent="0.25"/>
    <row r="68" s="8" customFormat="1" x14ac:dyDescent="0.25"/>
    <row r="69" s="8" customFormat="1" x14ac:dyDescent="0.25"/>
    <row r="80" s="8" customFormat="1" x14ac:dyDescent="0.25"/>
  </sheetData>
  <mergeCells count="8">
    <mergeCell ref="B17:N17"/>
    <mergeCell ref="B39:N39"/>
    <mergeCell ref="B48:N48"/>
    <mergeCell ref="B2:D2"/>
    <mergeCell ref="E2:I2"/>
    <mergeCell ref="J2:M2"/>
    <mergeCell ref="B3:N3"/>
    <mergeCell ref="B9:N9"/>
  </mergeCells>
  <printOptions horizontalCentered="1" gridLines="1"/>
  <pageMargins left="0.7" right="0.7" top="0.75" bottom="0.75" header="0.511811023622047" footer="0.511811023622047"/>
  <pageSetup paperSize="9" fitToHeight="0" pageOrder="overThenDown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886"/>
  <sheetViews>
    <sheetView tabSelected="1" zoomScaleNormal="100" workbookViewId="0">
      <selection activeCell="H35" sqref="H35"/>
    </sheetView>
  </sheetViews>
  <sheetFormatPr baseColWidth="10" defaultColWidth="12.625" defaultRowHeight="15" x14ac:dyDescent="0.25"/>
  <cols>
    <col min="1" max="1" width="63" style="8" customWidth="1"/>
    <col min="2" max="2" width="11.25" style="8" customWidth="1"/>
    <col min="3" max="3" width="7.5" style="8" customWidth="1"/>
    <col min="4" max="5" width="7.25" style="8" customWidth="1"/>
    <col min="6" max="6" width="7" style="8" customWidth="1"/>
    <col min="7" max="8" width="11.375" style="8" customWidth="1"/>
    <col min="9" max="9" width="12.625" style="8"/>
    <col min="10" max="10" width="16" style="8" customWidth="1"/>
    <col min="11" max="11" width="21.875" style="8" customWidth="1"/>
    <col min="12" max="12" width="16.5" style="8" customWidth="1"/>
    <col min="13" max="13" width="13.5" style="8" customWidth="1"/>
    <col min="14" max="17" width="9.375" style="8" customWidth="1"/>
    <col min="18" max="16384" width="12.625" style="8"/>
  </cols>
  <sheetData>
    <row r="1" spans="1:13" ht="15" customHeight="1" x14ac:dyDescent="0.25">
      <c r="A1" s="8" t="s">
        <v>81</v>
      </c>
      <c r="J1" s="24" t="s">
        <v>82</v>
      </c>
      <c r="K1" s="25"/>
      <c r="L1" s="25"/>
      <c r="M1" s="25"/>
    </row>
    <row r="2" spans="1:13" ht="15" customHeight="1" x14ac:dyDescent="0.25">
      <c r="B2" s="26" t="s">
        <v>83</v>
      </c>
      <c r="C2" s="20" t="s">
        <v>84</v>
      </c>
      <c r="D2" s="20"/>
      <c r="E2" s="20"/>
      <c r="F2" s="20"/>
      <c r="G2" s="20"/>
      <c r="J2" s="27" t="s">
        <v>85</v>
      </c>
      <c r="K2" s="28" t="s">
        <v>86</v>
      </c>
      <c r="L2" s="28" t="s">
        <v>87</v>
      </c>
      <c r="M2" s="28" t="s">
        <v>88</v>
      </c>
    </row>
    <row r="3" spans="1:13" ht="15" customHeight="1" x14ac:dyDescent="0.25">
      <c r="A3" s="29" t="s">
        <v>89</v>
      </c>
      <c r="B3" s="26">
        <f>SUM(B4:B7)</f>
        <v>5</v>
      </c>
      <c r="C3" s="29" t="s">
        <v>8</v>
      </c>
      <c r="D3" s="29" t="s">
        <v>12</v>
      </c>
      <c r="E3" s="29" t="s">
        <v>15</v>
      </c>
      <c r="F3" s="29" t="s">
        <v>17</v>
      </c>
      <c r="G3" s="29" t="s">
        <v>19</v>
      </c>
      <c r="H3" s="29" t="s">
        <v>21</v>
      </c>
      <c r="J3" s="17" t="s">
        <v>8</v>
      </c>
      <c r="K3" s="17" t="s">
        <v>90</v>
      </c>
      <c r="L3" s="17" t="s">
        <v>91</v>
      </c>
      <c r="M3" s="13">
        <f>'Analisis de Ingresos'!G3</f>
        <v>13387.5</v>
      </c>
    </row>
    <row r="4" spans="1:13" ht="15" customHeight="1" x14ac:dyDescent="0.25">
      <c r="A4" s="30" t="s">
        <v>92</v>
      </c>
      <c r="B4" s="26">
        <v>1</v>
      </c>
      <c r="C4" s="30">
        <v>4</v>
      </c>
      <c r="D4" s="30">
        <v>3</v>
      </c>
      <c r="E4" s="30">
        <v>0</v>
      </c>
      <c r="F4" s="30">
        <v>0</v>
      </c>
      <c r="G4" s="30">
        <v>0</v>
      </c>
      <c r="H4" s="30">
        <v>0</v>
      </c>
      <c r="J4" s="17" t="s">
        <v>12</v>
      </c>
      <c r="K4" s="15" t="s">
        <v>13</v>
      </c>
      <c r="L4" s="15" t="s">
        <v>93</v>
      </c>
      <c r="M4" s="31">
        <f>'Analisis de Ingresos'!G4</f>
        <v>5950</v>
      </c>
    </row>
    <row r="5" spans="1:13" ht="15" customHeight="1" x14ac:dyDescent="0.25">
      <c r="A5" s="30" t="s">
        <v>94</v>
      </c>
      <c r="B5" s="26">
        <v>2</v>
      </c>
      <c r="C5" s="30">
        <v>8</v>
      </c>
      <c r="D5" s="30">
        <v>6</v>
      </c>
      <c r="E5" s="30">
        <v>2</v>
      </c>
      <c r="F5" s="30">
        <v>0</v>
      </c>
      <c r="G5" s="30">
        <v>0</v>
      </c>
      <c r="H5" s="30">
        <v>0</v>
      </c>
      <c r="J5" s="18" t="s">
        <v>15</v>
      </c>
      <c r="K5" s="18" t="s">
        <v>16</v>
      </c>
      <c r="L5" s="18" t="s">
        <v>91</v>
      </c>
      <c r="M5" s="32">
        <f>'Analisis de Ingresos'!G5</f>
        <v>11156.25</v>
      </c>
    </row>
    <row r="6" spans="1:13" ht="15" customHeight="1" x14ac:dyDescent="0.25">
      <c r="A6" s="30" t="s">
        <v>95</v>
      </c>
      <c r="B6" s="26">
        <v>1</v>
      </c>
      <c r="C6" s="30">
        <v>4</v>
      </c>
      <c r="D6" s="30">
        <v>3</v>
      </c>
      <c r="E6" s="30">
        <v>0</v>
      </c>
      <c r="F6" s="30">
        <v>0</v>
      </c>
      <c r="G6" s="30">
        <v>0</v>
      </c>
      <c r="H6" s="30">
        <v>0</v>
      </c>
      <c r="J6" s="18" t="s">
        <v>17</v>
      </c>
      <c r="K6" s="18" t="s">
        <v>18</v>
      </c>
      <c r="L6" s="18" t="s">
        <v>91</v>
      </c>
      <c r="M6" s="32">
        <f>'Analisis de Ingresos'!G6</f>
        <v>10040.625</v>
      </c>
    </row>
    <row r="7" spans="1:13" ht="15" customHeight="1" x14ac:dyDescent="0.25">
      <c r="A7" s="30" t="s">
        <v>96</v>
      </c>
      <c r="B7" s="26">
        <v>1</v>
      </c>
      <c r="C7" s="30">
        <v>2</v>
      </c>
      <c r="D7" s="30">
        <v>5</v>
      </c>
      <c r="E7" s="30">
        <v>0</v>
      </c>
      <c r="F7" s="30">
        <v>0</v>
      </c>
      <c r="G7" s="30">
        <v>2</v>
      </c>
      <c r="H7" s="30">
        <v>2</v>
      </c>
      <c r="J7" s="17" t="s">
        <v>19</v>
      </c>
      <c r="K7" s="17" t="s">
        <v>20</v>
      </c>
      <c r="L7" s="17" t="s">
        <v>91</v>
      </c>
      <c r="M7" s="13">
        <f>'Analisis de Ingresos'!G7</f>
        <v>7437.5</v>
      </c>
    </row>
    <row r="8" spans="1:13" ht="15" customHeight="1" x14ac:dyDescent="0.25">
      <c r="A8" s="29" t="s">
        <v>97</v>
      </c>
      <c r="B8" s="26">
        <f>SUM(B9:B12)</f>
        <v>10</v>
      </c>
      <c r="C8" s="29" t="s">
        <v>8</v>
      </c>
      <c r="D8" s="29" t="s">
        <v>12</v>
      </c>
      <c r="E8" s="29" t="s">
        <v>15</v>
      </c>
      <c r="F8" s="29" t="s">
        <v>17</v>
      </c>
      <c r="G8" s="29" t="s">
        <v>19</v>
      </c>
      <c r="H8" s="29" t="s">
        <v>21</v>
      </c>
      <c r="J8" s="17" t="s">
        <v>21</v>
      </c>
      <c r="K8" s="17" t="s">
        <v>20</v>
      </c>
      <c r="L8" s="17" t="s">
        <v>93</v>
      </c>
      <c r="M8" s="13">
        <f>'Analisis de Ingresos'!G8</f>
        <v>9668.75</v>
      </c>
    </row>
    <row r="9" spans="1:13" x14ac:dyDescent="0.25">
      <c r="A9" s="30" t="s">
        <v>98</v>
      </c>
      <c r="B9" s="26">
        <v>3</v>
      </c>
      <c r="C9" s="30">
        <v>6</v>
      </c>
      <c r="D9" s="30">
        <v>12</v>
      </c>
      <c r="E9" s="30">
        <v>4</v>
      </c>
      <c r="F9" s="30">
        <v>0</v>
      </c>
      <c r="G9" s="30">
        <v>4</v>
      </c>
      <c r="H9" s="30">
        <v>4</v>
      </c>
    </row>
    <row r="10" spans="1:13" ht="13.5" customHeight="1" x14ac:dyDescent="0.25">
      <c r="A10" s="30" t="s">
        <v>99</v>
      </c>
      <c r="B10" s="26">
        <v>3</v>
      </c>
      <c r="C10" s="30">
        <v>4</v>
      </c>
      <c r="D10" s="30">
        <v>0</v>
      </c>
      <c r="E10" s="30">
        <v>14</v>
      </c>
      <c r="F10" s="30">
        <v>16</v>
      </c>
      <c r="G10" s="30">
        <v>4</v>
      </c>
      <c r="H10" s="30">
        <v>2</v>
      </c>
    </row>
    <row r="11" spans="1:13" ht="13.5" customHeight="1" x14ac:dyDescent="0.25">
      <c r="A11" s="30" t="s">
        <v>100</v>
      </c>
      <c r="B11" s="26">
        <v>2</v>
      </c>
      <c r="C11" s="30">
        <v>2</v>
      </c>
      <c r="D11" s="30">
        <v>12</v>
      </c>
      <c r="E11" s="30">
        <v>0</v>
      </c>
      <c r="F11" s="30">
        <v>0</v>
      </c>
      <c r="G11" s="30">
        <v>0</v>
      </c>
      <c r="H11" s="30">
        <v>10</v>
      </c>
    </row>
    <row r="12" spans="1:13" ht="13.5" customHeight="1" x14ac:dyDescent="0.25">
      <c r="A12" s="30" t="s">
        <v>101</v>
      </c>
      <c r="B12" s="26">
        <v>2</v>
      </c>
      <c r="C12" s="30">
        <v>6</v>
      </c>
      <c r="D12" s="30">
        <v>8</v>
      </c>
      <c r="E12" s="30">
        <v>2</v>
      </c>
      <c r="F12" s="30">
        <v>0</v>
      </c>
      <c r="G12" s="30">
        <v>2</v>
      </c>
      <c r="H12" s="30">
        <v>2</v>
      </c>
    </row>
    <row r="13" spans="1:13" ht="13.5" customHeight="1" x14ac:dyDescent="0.25">
      <c r="A13" s="29" t="s">
        <v>102</v>
      </c>
      <c r="B13" s="26">
        <f>SUM(B14:B19)</f>
        <v>35</v>
      </c>
      <c r="C13" s="29" t="s">
        <v>8</v>
      </c>
      <c r="D13" s="29" t="s">
        <v>12</v>
      </c>
      <c r="E13" s="29" t="s">
        <v>15</v>
      </c>
      <c r="F13" s="29" t="s">
        <v>17</v>
      </c>
      <c r="G13" s="29" t="s">
        <v>19</v>
      </c>
      <c r="H13" s="29" t="s">
        <v>21</v>
      </c>
    </row>
    <row r="14" spans="1:13" x14ac:dyDescent="0.25">
      <c r="A14" s="30" t="s">
        <v>103</v>
      </c>
      <c r="B14" s="26">
        <v>5</v>
      </c>
      <c r="C14" s="30">
        <v>4</v>
      </c>
      <c r="D14" s="30">
        <v>0</v>
      </c>
      <c r="E14" s="30">
        <v>6</v>
      </c>
      <c r="F14" s="30">
        <v>4</v>
      </c>
      <c r="G14" s="30">
        <v>14</v>
      </c>
      <c r="H14" s="30">
        <v>12</v>
      </c>
    </row>
    <row r="15" spans="1:13" x14ac:dyDescent="0.25">
      <c r="A15" s="30" t="s">
        <v>104</v>
      </c>
      <c r="B15" s="26">
        <v>5</v>
      </c>
      <c r="C15" s="30">
        <v>3</v>
      </c>
      <c r="D15" s="30">
        <v>0</v>
      </c>
      <c r="E15" s="30">
        <v>4</v>
      </c>
      <c r="F15" s="30">
        <v>20</v>
      </c>
      <c r="G15" s="30">
        <v>14</v>
      </c>
      <c r="H15" s="30">
        <v>6</v>
      </c>
    </row>
    <row r="16" spans="1:13" x14ac:dyDescent="0.25">
      <c r="A16" s="30" t="s">
        <v>105</v>
      </c>
      <c r="B16" s="26">
        <v>7</v>
      </c>
      <c r="C16" s="30">
        <v>3</v>
      </c>
      <c r="D16" s="30">
        <v>0</v>
      </c>
      <c r="E16" s="30">
        <v>2</v>
      </c>
      <c r="F16" s="30">
        <v>4</v>
      </c>
      <c r="G16" s="30">
        <v>14</v>
      </c>
      <c r="H16" s="30">
        <v>36</v>
      </c>
    </row>
    <row r="17" spans="1:11" x14ac:dyDescent="0.25">
      <c r="A17" s="30" t="s">
        <v>106</v>
      </c>
      <c r="B17" s="26">
        <v>6</v>
      </c>
      <c r="C17" s="30">
        <v>4</v>
      </c>
      <c r="D17" s="30">
        <v>0</v>
      </c>
      <c r="E17" s="30">
        <v>2</v>
      </c>
      <c r="F17" s="30">
        <v>6</v>
      </c>
      <c r="G17" s="30">
        <v>26</v>
      </c>
      <c r="H17" s="30">
        <v>12</v>
      </c>
    </row>
    <row r="18" spans="1:11" x14ac:dyDescent="0.25">
      <c r="A18" s="30" t="s">
        <v>107</v>
      </c>
      <c r="B18" s="26">
        <v>6</v>
      </c>
      <c r="C18" s="30">
        <v>3</v>
      </c>
      <c r="D18" s="30">
        <v>0</v>
      </c>
      <c r="E18" s="30">
        <v>0</v>
      </c>
      <c r="F18" s="30">
        <v>2</v>
      </c>
      <c r="G18" s="30">
        <v>22</v>
      </c>
      <c r="H18" s="30">
        <v>18</v>
      </c>
    </row>
    <row r="19" spans="1:11" ht="15.75" customHeight="1" x14ac:dyDescent="0.25">
      <c r="A19" s="30" t="s">
        <v>108</v>
      </c>
      <c r="B19" s="26">
        <v>6</v>
      </c>
      <c r="C19" s="30">
        <v>3</v>
      </c>
      <c r="D19" s="30">
        <v>4</v>
      </c>
      <c r="E19" s="30">
        <v>0</v>
      </c>
      <c r="F19" s="30">
        <v>0</v>
      </c>
      <c r="G19" s="30">
        <v>8</v>
      </c>
      <c r="H19" s="30">
        <v>24</v>
      </c>
      <c r="J19" s="33" t="s">
        <v>109</v>
      </c>
      <c r="K19" s="33"/>
    </row>
    <row r="20" spans="1:11" ht="15.75" customHeight="1" x14ac:dyDescent="0.25">
      <c r="A20" s="34" t="s">
        <v>110</v>
      </c>
      <c r="B20" s="26">
        <f>SUM(B21:B24)</f>
        <v>15</v>
      </c>
      <c r="C20" s="35" t="s">
        <v>8</v>
      </c>
      <c r="D20" s="35" t="s">
        <v>12</v>
      </c>
      <c r="E20" s="35" t="s">
        <v>15</v>
      </c>
      <c r="F20" s="35" t="s">
        <v>17</v>
      </c>
      <c r="G20" s="35" t="s">
        <v>19</v>
      </c>
      <c r="H20" s="35" t="s">
        <v>21</v>
      </c>
      <c r="J20" s="17" t="s">
        <v>8</v>
      </c>
      <c r="K20" s="36">
        <f>$M$3*C26</f>
        <v>990675</v>
      </c>
    </row>
    <row r="21" spans="1:11" ht="15.75" customHeight="1" x14ac:dyDescent="0.25">
      <c r="A21" s="30" t="s">
        <v>111</v>
      </c>
      <c r="B21" s="26">
        <v>5</v>
      </c>
      <c r="C21" s="30">
        <v>4</v>
      </c>
      <c r="D21" s="30">
        <v>14</v>
      </c>
      <c r="E21" s="30">
        <v>0</v>
      </c>
      <c r="F21" s="30">
        <v>0</v>
      </c>
      <c r="G21" s="30">
        <v>14</v>
      </c>
      <c r="H21" s="30">
        <v>14</v>
      </c>
      <c r="J21" s="17" t="s">
        <v>12</v>
      </c>
      <c r="K21" s="36">
        <f>$M$4*D26</f>
        <v>541450</v>
      </c>
    </row>
    <row r="22" spans="1:11" ht="15.75" customHeight="1" x14ac:dyDescent="0.25">
      <c r="A22" s="30" t="s">
        <v>112</v>
      </c>
      <c r="B22" s="26">
        <v>2</v>
      </c>
      <c r="C22" s="30">
        <v>2</v>
      </c>
      <c r="D22" s="30">
        <v>0</v>
      </c>
      <c r="E22" s="30">
        <v>2</v>
      </c>
      <c r="F22" s="30">
        <v>2</v>
      </c>
      <c r="G22" s="30">
        <v>6</v>
      </c>
      <c r="H22" s="30">
        <v>4</v>
      </c>
      <c r="J22" s="18" t="s">
        <v>15</v>
      </c>
      <c r="K22" s="36">
        <f>$M$5*E26</f>
        <v>446250</v>
      </c>
    </row>
    <row r="23" spans="1:11" ht="15.75" customHeight="1" x14ac:dyDescent="0.25">
      <c r="A23" s="30" t="s">
        <v>113</v>
      </c>
      <c r="B23" s="26">
        <v>3</v>
      </c>
      <c r="C23" s="30">
        <v>4</v>
      </c>
      <c r="D23" s="30">
        <v>14</v>
      </c>
      <c r="E23" s="30">
        <v>2</v>
      </c>
      <c r="F23" s="30">
        <v>2</v>
      </c>
      <c r="G23" s="30">
        <v>4</v>
      </c>
      <c r="H23" s="30">
        <v>8</v>
      </c>
      <c r="J23" s="18" t="s">
        <v>17</v>
      </c>
      <c r="K23" s="36">
        <f>$M$6*F26</f>
        <v>562275</v>
      </c>
    </row>
    <row r="24" spans="1:11" ht="15.75" customHeight="1" x14ac:dyDescent="0.25">
      <c r="A24" s="30" t="s">
        <v>114</v>
      </c>
      <c r="B24" s="26">
        <v>5</v>
      </c>
      <c r="C24" s="30">
        <v>8</v>
      </c>
      <c r="D24" s="30">
        <v>10</v>
      </c>
      <c r="E24" s="30">
        <v>0</v>
      </c>
      <c r="F24" s="30">
        <v>0</v>
      </c>
      <c r="G24" s="30">
        <v>4</v>
      </c>
      <c r="H24" s="30">
        <v>4</v>
      </c>
      <c r="J24" s="17" t="s">
        <v>19</v>
      </c>
      <c r="K24" s="36">
        <f>$M$7*G26</f>
        <v>1026375</v>
      </c>
    </row>
    <row r="25" spans="1:11" ht="15.75" customHeight="1" x14ac:dyDescent="0.25">
      <c r="A25" s="37"/>
      <c r="B25" s="38" t="s">
        <v>115</v>
      </c>
      <c r="C25" s="38" t="s">
        <v>8</v>
      </c>
      <c r="D25" s="38" t="s">
        <v>12</v>
      </c>
      <c r="E25" s="38" t="s">
        <v>15</v>
      </c>
      <c r="F25" s="35" t="s">
        <v>17</v>
      </c>
      <c r="G25" s="35" t="s">
        <v>19</v>
      </c>
      <c r="H25" s="35" t="s">
        <v>21</v>
      </c>
      <c r="J25" s="17" t="s">
        <v>21</v>
      </c>
      <c r="K25" s="36">
        <f>$M$8*H26</f>
        <v>1527662.5</v>
      </c>
    </row>
    <row r="26" spans="1:11" ht="15" customHeight="1" x14ac:dyDescent="0.3">
      <c r="A26" s="39" t="s">
        <v>116</v>
      </c>
      <c r="B26" s="40">
        <f>B3+B8+B13+B20</f>
        <v>65</v>
      </c>
      <c r="C26" s="40">
        <f t="shared" ref="C26:H26" si="0">SUM(C4:C7)+SUM(C9:C12)+SUM(C14:C19)+SUM(C21:C24)</f>
        <v>74</v>
      </c>
      <c r="D26" s="40">
        <f t="shared" si="0"/>
        <v>91</v>
      </c>
      <c r="E26" s="40">
        <f t="shared" si="0"/>
        <v>40</v>
      </c>
      <c r="F26" s="40">
        <f t="shared" si="0"/>
        <v>56</v>
      </c>
      <c r="G26" s="40">
        <f t="shared" si="0"/>
        <v>138</v>
      </c>
      <c r="H26" s="40">
        <f t="shared" si="0"/>
        <v>158</v>
      </c>
      <c r="J26" s="41" t="s">
        <v>117</v>
      </c>
      <c r="K26" s="42">
        <f>SUM(K20:K25)</f>
        <v>5094687.5</v>
      </c>
    </row>
    <row r="27" spans="1:11" ht="15.75" customHeight="1" x14ac:dyDescent="0.25"/>
    <row r="28" spans="1:11" ht="15.75" customHeight="1" x14ac:dyDescent="0.25">
      <c r="A28" s="43" t="s">
        <v>118</v>
      </c>
    </row>
    <row r="29" spans="1:11" ht="15.75" customHeight="1" x14ac:dyDescent="0.25">
      <c r="A29" s="8" t="s">
        <v>119</v>
      </c>
    </row>
    <row r="30" spans="1:11" ht="15.75" customHeight="1" x14ac:dyDescent="0.25">
      <c r="A30" s="8" t="s">
        <v>120</v>
      </c>
    </row>
    <row r="31" spans="1:11" ht="15.75" customHeight="1" x14ac:dyDescent="0.25">
      <c r="A31" s="8" t="s">
        <v>121</v>
      </c>
    </row>
    <row r="32" spans="1:11" ht="15.75" customHeight="1" x14ac:dyDescent="0.25">
      <c r="A32" s="8" t="s">
        <v>122</v>
      </c>
    </row>
    <row r="33" spans="1:1" ht="15.75" customHeight="1" x14ac:dyDescent="0.25">
      <c r="A33" s="8" t="s">
        <v>123</v>
      </c>
    </row>
    <row r="34" spans="1:1" ht="15.75" customHeight="1" x14ac:dyDescent="0.25">
      <c r="A34" s="8" t="s">
        <v>124</v>
      </c>
    </row>
    <row r="35" spans="1:1" ht="15.75" customHeight="1" x14ac:dyDescent="0.25"/>
    <row r="36" spans="1:1" ht="15.75" customHeight="1" x14ac:dyDescent="0.25"/>
    <row r="37" spans="1:1" ht="15.75" customHeight="1" x14ac:dyDescent="0.25"/>
    <row r="38" spans="1:1" ht="15.75" customHeight="1" x14ac:dyDescent="0.25"/>
    <row r="39" spans="1:1" ht="15.75" customHeight="1" x14ac:dyDescent="0.25"/>
    <row r="40" spans="1:1" ht="15.75" customHeight="1" x14ac:dyDescent="0.25"/>
    <row r="41" spans="1:1" ht="15.75" customHeight="1" x14ac:dyDescent="0.25"/>
    <row r="42" spans="1:1" ht="15.75" customHeight="1" x14ac:dyDescent="0.25"/>
    <row r="43" spans="1:1" ht="15.75" customHeight="1" x14ac:dyDescent="0.25"/>
    <row r="44" spans="1:1" ht="15.75" customHeight="1" x14ac:dyDescent="0.25"/>
    <row r="45" spans="1:1" ht="15.75" customHeight="1" x14ac:dyDescent="0.25"/>
    <row r="46" spans="1:1" ht="15.75" customHeight="1" x14ac:dyDescent="0.25"/>
    <row r="47" spans="1:1" ht="15.75" customHeight="1" x14ac:dyDescent="0.25"/>
    <row r="48" spans="1:1" ht="15.75" customHeight="1" x14ac:dyDescent="0.25"/>
    <row r="49" s="8" customFormat="1" ht="15.75" customHeight="1" x14ac:dyDescent="0.25"/>
    <row r="50" s="8" customFormat="1" ht="15.75" customHeight="1" x14ac:dyDescent="0.25"/>
    <row r="51" s="8" customFormat="1" ht="15.75" customHeight="1" x14ac:dyDescent="0.25"/>
    <row r="52" s="8" customFormat="1" ht="15.75" customHeight="1" x14ac:dyDescent="0.25"/>
    <row r="53" s="8" customFormat="1" ht="15.75" customHeight="1" x14ac:dyDescent="0.25"/>
    <row r="54" s="8" customFormat="1" ht="15.75" customHeight="1" x14ac:dyDescent="0.25"/>
    <row r="55" s="8" customFormat="1" ht="15.75" customHeight="1" x14ac:dyDescent="0.25"/>
    <row r="56" s="8" customFormat="1" ht="15.75" customHeight="1" x14ac:dyDescent="0.25"/>
    <row r="57" s="8" customFormat="1" ht="15.75" customHeight="1" x14ac:dyDescent="0.25"/>
    <row r="58" s="8" customFormat="1" ht="15.75" customHeight="1" x14ac:dyDescent="0.25"/>
    <row r="59" s="8" customFormat="1" ht="15.75" customHeight="1" x14ac:dyDescent="0.25"/>
    <row r="60" s="8" customFormat="1" ht="15.75" customHeight="1" x14ac:dyDescent="0.25"/>
    <row r="61" s="8" customFormat="1" ht="15.75" customHeight="1" x14ac:dyDescent="0.25"/>
    <row r="62" s="8" customFormat="1" ht="15.75" customHeight="1" x14ac:dyDescent="0.25"/>
    <row r="63" s="8" customFormat="1" ht="15.75" customHeight="1" x14ac:dyDescent="0.25"/>
    <row r="64" s="8" customFormat="1" ht="15.75" customHeight="1" x14ac:dyDescent="0.25"/>
    <row r="65" s="8" customFormat="1" ht="15.75" customHeight="1" x14ac:dyDescent="0.25"/>
    <row r="66" s="8" customFormat="1" ht="15.75" customHeight="1" x14ac:dyDescent="0.25"/>
    <row r="67" s="8" customFormat="1" ht="15.75" customHeight="1" x14ac:dyDescent="0.25"/>
    <row r="68" s="8" customFormat="1" ht="15.75" customHeight="1" x14ac:dyDescent="0.25"/>
    <row r="69" s="8" customFormat="1" ht="15.75" customHeight="1" x14ac:dyDescent="0.25"/>
    <row r="70" s="8" customFormat="1" ht="15.75" customHeight="1" x14ac:dyDescent="0.25"/>
    <row r="71" s="8" customFormat="1" ht="15.75" customHeight="1" x14ac:dyDescent="0.25"/>
    <row r="72" s="8" customFormat="1" ht="15.75" customHeight="1" x14ac:dyDescent="0.25"/>
    <row r="73" s="8" customFormat="1" ht="15.75" customHeight="1" x14ac:dyDescent="0.25"/>
    <row r="74" s="8" customFormat="1" ht="15.75" customHeight="1" x14ac:dyDescent="0.25"/>
    <row r="75" s="8" customFormat="1" ht="15.75" customHeight="1" x14ac:dyDescent="0.25"/>
    <row r="76" s="8" customFormat="1" ht="15.75" customHeight="1" x14ac:dyDescent="0.25"/>
    <row r="77" s="8" customFormat="1" ht="15.75" customHeight="1" x14ac:dyDescent="0.25"/>
    <row r="78" s="8" customFormat="1" ht="15.75" customHeight="1" x14ac:dyDescent="0.25"/>
    <row r="79" s="8" customFormat="1" ht="15.75" customHeight="1" x14ac:dyDescent="0.25"/>
    <row r="80" s="8" customFormat="1" ht="15.75" customHeight="1" x14ac:dyDescent="0.25"/>
    <row r="81" s="8" customFormat="1" ht="15.75" customHeight="1" x14ac:dyDescent="0.25"/>
    <row r="82" s="8" customFormat="1" ht="15.75" customHeight="1" x14ac:dyDescent="0.25"/>
    <row r="83" s="8" customFormat="1" ht="15.75" customHeight="1" x14ac:dyDescent="0.25"/>
    <row r="84" s="8" customFormat="1" ht="15.75" customHeight="1" x14ac:dyDescent="0.25"/>
    <row r="85" s="8" customFormat="1" ht="15.75" customHeight="1" x14ac:dyDescent="0.25"/>
    <row r="86" s="8" customFormat="1" ht="15.75" customHeight="1" x14ac:dyDescent="0.25"/>
    <row r="87" s="8" customFormat="1" ht="15.75" customHeight="1" x14ac:dyDescent="0.25"/>
    <row r="88" s="8" customFormat="1" ht="15.75" customHeight="1" x14ac:dyDescent="0.25"/>
    <row r="89" s="8" customFormat="1" ht="15.75" customHeight="1" x14ac:dyDescent="0.25"/>
    <row r="90" s="8" customFormat="1" ht="15.75" customHeight="1" x14ac:dyDescent="0.25"/>
    <row r="91" s="8" customFormat="1" ht="15.75" customHeight="1" x14ac:dyDescent="0.25"/>
    <row r="92" s="8" customFormat="1" ht="15.75" customHeight="1" x14ac:dyDescent="0.25"/>
    <row r="93" s="8" customFormat="1" ht="15.75" customHeight="1" x14ac:dyDescent="0.25"/>
    <row r="94" s="8" customFormat="1" ht="15.75" customHeight="1" x14ac:dyDescent="0.25"/>
    <row r="95" s="8" customFormat="1" ht="15.75" customHeight="1" x14ac:dyDescent="0.25"/>
    <row r="96" s="8" customFormat="1" ht="15.75" customHeight="1" x14ac:dyDescent="0.25"/>
    <row r="97" s="8" customFormat="1" ht="15.75" customHeight="1" x14ac:dyDescent="0.25"/>
    <row r="98" s="8" customFormat="1" ht="15.75" customHeight="1" x14ac:dyDescent="0.25"/>
    <row r="99" s="8" customFormat="1" ht="15.75" customHeight="1" x14ac:dyDescent="0.25"/>
    <row r="100" s="8" customFormat="1" ht="15.75" customHeight="1" x14ac:dyDescent="0.25"/>
    <row r="101" s="8" customFormat="1" ht="15.75" customHeight="1" x14ac:dyDescent="0.25"/>
    <row r="102" s="8" customFormat="1" ht="15.75" customHeight="1" x14ac:dyDescent="0.25"/>
    <row r="103" s="8" customFormat="1" ht="15.75" customHeight="1" x14ac:dyDescent="0.25"/>
    <row r="104" s="8" customFormat="1" ht="15.75" customHeight="1" x14ac:dyDescent="0.25"/>
    <row r="105" s="8" customFormat="1" ht="15.75" customHeight="1" x14ac:dyDescent="0.25"/>
    <row r="106" s="8" customFormat="1" ht="15.75" customHeight="1" x14ac:dyDescent="0.25"/>
    <row r="107" s="8" customFormat="1" ht="15.75" customHeight="1" x14ac:dyDescent="0.25"/>
    <row r="108" s="8" customFormat="1" ht="15.75" customHeight="1" x14ac:dyDescent="0.25"/>
    <row r="109" s="8" customFormat="1" ht="15.75" customHeight="1" x14ac:dyDescent="0.25"/>
    <row r="110" s="8" customFormat="1" ht="15.75" customHeight="1" x14ac:dyDescent="0.25"/>
    <row r="111" s="8" customFormat="1" ht="15.75" customHeight="1" x14ac:dyDescent="0.25"/>
    <row r="112" s="8" customFormat="1" ht="15.75" customHeight="1" x14ac:dyDescent="0.25"/>
    <row r="113" s="8" customFormat="1" ht="15.75" customHeight="1" x14ac:dyDescent="0.25"/>
    <row r="114" s="8" customFormat="1" ht="15.75" customHeight="1" x14ac:dyDescent="0.25"/>
    <row r="115" s="8" customFormat="1" ht="15.75" customHeight="1" x14ac:dyDescent="0.25"/>
    <row r="116" s="8" customFormat="1" ht="15.75" customHeight="1" x14ac:dyDescent="0.25"/>
    <row r="117" s="8" customFormat="1" ht="15.75" customHeight="1" x14ac:dyDescent="0.25"/>
    <row r="118" s="8" customFormat="1" ht="15.75" customHeight="1" x14ac:dyDescent="0.25"/>
    <row r="119" s="8" customFormat="1" ht="15.75" customHeight="1" x14ac:dyDescent="0.25"/>
    <row r="120" s="8" customFormat="1" ht="15.75" customHeight="1" x14ac:dyDescent="0.25"/>
    <row r="121" s="8" customFormat="1" ht="15.75" customHeight="1" x14ac:dyDescent="0.25"/>
    <row r="122" s="8" customFormat="1" ht="15.75" customHeight="1" x14ac:dyDescent="0.25"/>
    <row r="123" s="8" customFormat="1" ht="15.75" customHeight="1" x14ac:dyDescent="0.25"/>
    <row r="124" s="8" customFormat="1" ht="15.75" customHeight="1" x14ac:dyDescent="0.25"/>
    <row r="125" s="8" customFormat="1" ht="15.75" customHeight="1" x14ac:dyDescent="0.25"/>
    <row r="126" s="8" customFormat="1" ht="15.75" customHeight="1" x14ac:dyDescent="0.25"/>
    <row r="127" s="8" customFormat="1" ht="15.75" customHeight="1" x14ac:dyDescent="0.25"/>
    <row r="128" s="8" customFormat="1" ht="15.75" customHeight="1" x14ac:dyDescent="0.25"/>
    <row r="129" s="8" customFormat="1" ht="15.75" customHeight="1" x14ac:dyDescent="0.25"/>
    <row r="130" s="8" customFormat="1" ht="15.75" customHeight="1" x14ac:dyDescent="0.25"/>
    <row r="131" s="8" customFormat="1" ht="15.75" customHeight="1" x14ac:dyDescent="0.25"/>
    <row r="132" s="8" customFormat="1" ht="15.75" customHeight="1" x14ac:dyDescent="0.25"/>
    <row r="133" s="8" customFormat="1" ht="15.75" customHeight="1" x14ac:dyDescent="0.25"/>
    <row r="134" s="8" customFormat="1" ht="15.75" customHeight="1" x14ac:dyDescent="0.25"/>
    <row r="135" s="8" customFormat="1" ht="15.75" customHeight="1" x14ac:dyDescent="0.25"/>
    <row r="136" s="8" customFormat="1" ht="15.75" customHeight="1" x14ac:dyDescent="0.25"/>
    <row r="137" s="8" customFormat="1" ht="15.75" customHeight="1" x14ac:dyDescent="0.25"/>
    <row r="138" s="8" customFormat="1" ht="15.75" customHeight="1" x14ac:dyDescent="0.25"/>
    <row r="139" s="8" customFormat="1" ht="15.75" customHeight="1" x14ac:dyDescent="0.25"/>
    <row r="140" s="8" customFormat="1" ht="15.75" customHeight="1" x14ac:dyDescent="0.25"/>
    <row r="141" s="8" customFormat="1" ht="15.75" customHeight="1" x14ac:dyDescent="0.25"/>
    <row r="142" s="8" customFormat="1" ht="15.75" customHeight="1" x14ac:dyDescent="0.25"/>
    <row r="143" s="8" customFormat="1" ht="15.75" customHeight="1" x14ac:dyDescent="0.25"/>
    <row r="144" s="8" customFormat="1" ht="15.75" customHeight="1" x14ac:dyDescent="0.25"/>
    <row r="145" s="8" customFormat="1" ht="15.75" customHeight="1" x14ac:dyDescent="0.25"/>
    <row r="146" s="8" customFormat="1" ht="15.75" customHeight="1" x14ac:dyDescent="0.25"/>
    <row r="147" s="8" customFormat="1" ht="15.75" customHeight="1" x14ac:dyDescent="0.25"/>
    <row r="148" s="8" customFormat="1" ht="15.75" customHeight="1" x14ac:dyDescent="0.25"/>
    <row r="149" s="8" customFormat="1" ht="15.75" customHeight="1" x14ac:dyDescent="0.25"/>
    <row r="150" s="8" customFormat="1" ht="15.75" customHeight="1" x14ac:dyDescent="0.25"/>
    <row r="151" s="8" customFormat="1" ht="15.75" customHeight="1" x14ac:dyDescent="0.25"/>
    <row r="152" s="8" customFormat="1" ht="15.75" customHeight="1" x14ac:dyDescent="0.25"/>
    <row r="153" s="8" customFormat="1" ht="15.75" customHeight="1" x14ac:dyDescent="0.25"/>
    <row r="154" s="8" customFormat="1" ht="15.75" customHeight="1" x14ac:dyDescent="0.25"/>
    <row r="155" s="8" customFormat="1" ht="15.75" customHeight="1" x14ac:dyDescent="0.25"/>
    <row r="156" s="8" customFormat="1" ht="15.75" customHeight="1" x14ac:dyDescent="0.25"/>
    <row r="157" s="8" customFormat="1" ht="15.75" customHeight="1" x14ac:dyDescent="0.25"/>
    <row r="158" s="8" customFormat="1" ht="15.75" customHeight="1" x14ac:dyDescent="0.25"/>
    <row r="159" s="8" customFormat="1" ht="15.75" customHeight="1" x14ac:dyDescent="0.25"/>
    <row r="160" s="8" customFormat="1" ht="15.75" customHeight="1" x14ac:dyDescent="0.25"/>
    <row r="161" s="8" customFormat="1" ht="15.75" customHeight="1" x14ac:dyDescent="0.25"/>
    <row r="162" s="8" customFormat="1" ht="15.75" customHeight="1" x14ac:dyDescent="0.25"/>
    <row r="163" s="8" customFormat="1" ht="15.75" customHeight="1" x14ac:dyDescent="0.25"/>
    <row r="164" s="8" customFormat="1" ht="15.75" customHeight="1" x14ac:dyDescent="0.25"/>
    <row r="165" s="8" customFormat="1" ht="15.75" customHeight="1" x14ac:dyDescent="0.25"/>
    <row r="166" s="8" customFormat="1" ht="15.75" customHeight="1" x14ac:dyDescent="0.25"/>
    <row r="167" s="8" customFormat="1" ht="15.75" customHeight="1" x14ac:dyDescent="0.25"/>
    <row r="168" s="8" customFormat="1" ht="15.75" customHeight="1" x14ac:dyDescent="0.25"/>
    <row r="169" s="8" customFormat="1" ht="15.75" customHeight="1" x14ac:dyDescent="0.25"/>
    <row r="170" s="8" customFormat="1" ht="15.75" customHeight="1" x14ac:dyDescent="0.25"/>
    <row r="171" s="8" customFormat="1" ht="15.75" customHeight="1" x14ac:dyDescent="0.25"/>
    <row r="172" s="8" customFormat="1" ht="15.75" customHeight="1" x14ac:dyDescent="0.25"/>
    <row r="173" s="8" customFormat="1" ht="15.75" customHeight="1" x14ac:dyDescent="0.25"/>
    <row r="174" s="8" customFormat="1" ht="15.75" customHeight="1" x14ac:dyDescent="0.25"/>
    <row r="175" s="8" customFormat="1" ht="15.75" customHeight="1" x14ac:dyDescent="0.25"/>
    <row r="176" s="8" customFormat="1" ht="15.75" customHeight="1" x14ac:dyDescent="0.25"/>
    <row r="177" s="8" customFormat="1" ht="15.75" customHeight="1" x14ac:dyDescent="0.25"/>
    <row r="178" s="8" customFormat="1" ht="15.75" customHeight="1" x14ac:dyDescent="0.25"/>
    <row r="179" s="8" customFormat="1" ht="15.75" customHeight="1" x14ac:dyDescent="0.25"/>
    <row r="180" s="8" customFormat="1" ht="15.75" customHeight="1" x14ac:dyDescent="0.25"/>
    <row r="181" s="8" customFormat="1" ht="15.75" customHeight="1" x14ac:dyDescent="0.25"/>
    <row r="182" s="8" customFormat="1" ht="15.75" customHeight="1" x14ac:dyDescent="0.25"/>
    <row r="183" s="8" customFormat="1" ht="15.75" customHeight="1" x14ac:dyDescent="0.25"/>
    <row r="184" s="8" customFormat="1" ht="15.75" customHeight="1" x14ac:dyDescent="0.25"/>
    <row r="185" s="8" customFormat="1" ht="15.75" customHeight="1" x14ac:dyDescent="0.25"/>
    <row r="186" s="8" customFormat="1" ht="15.75" customHeight="1" x14ac:dyDescent="0.25"/>
    <row r="187" s="8" customFormat="1" ht="15.75" customHeight="1" x14ac:dyDescent="0.25"/>
    <row r="188" s="8" customFormat="1" ht="15.75" customHeight="1" x14ac:dyDescent="0.25"/>
    <row r="189" s="8" customFormat="1" ht="15.75" customHeight="1" x14ac:dyDescent="0.25"/>
    <row r="190" s="8" customFormat="1" ht="15.75" customHeight="1" x14ac:dyDescent="0.25"/>
    <row r="191" s="8" customFormat="1" ht="15.75" customHeight="1" x14ac:dyDescent="0.25"/>
    <row r="192" s="8" customFormat="1" ht="15.75" customHeight="1" x14ac:dyDescent="0.25"/>
    <row r="193" s="8" customFormat="1" ht="15.75" customHeight="1" x14ac:dyDescent="0.25"/>
    <row r="194" s="8" customFormat="1" ht="15.75" customHeight="1" x14ac:dyDescent="0.25"/>
    <row r="195" s="8" customFormat="1" ht="15.75" customHeight="1" x14ac:dyDescent="0.25"/>
    <row r="196" s="8" customFormat="1" ht="15.75" customHeight="1" x14ac:dyDescent="0.25"/>
    <row r="197" s="8" customFormat="1" ht="15.75" customHeight="1" x14ac:dyDescent="0.25"/>
    <row r="198" s="8" customFormat="1" ht="15.75" customHeight="1" x14ac:dyDescent="0.25"/>
    <row r="199" s="8" customFormat="1" ht="15.75" customHeight="1" x14ac:dyDescent="0.25"/>
    <row r="200" s="8" customFormat="1" ht="15.75" customHeight="1" x14ac:dyDescent="0.25"/>
    <row r="201" s="8" customFormat="1" ht="15.75" customHeight="1" x14ac:dyDescent="0.25"/>
    <row r="202" s="8" customFormat="1" ht="15.75" customHeight="1" x14ac:dyDescent="0.25"/>
    <row r="203" s="8" customFormat="1" ht="15.75" customHeight="1" x14ac:dyDescent="0.25"/>
    <row r="204" s="8" customFormat="1" ht="15.75" customHeight="1" x14ac:dyDescent="0.25"/>
    <row r="205" s="8" customFormat="1" ht="15.75" customHeight="1" x14ac:dyDescent="0.25"/>
    <row r="206" s="8" customFormat="1" ht="15.75" customHeight="1" x14ac:dyDescent="0.25"/>
    <row r="207" s="8" customFormat="1" ht="15.75" customHeight="1" x14ac:dyDescent="0.25"/>
    <row r="208" s="8" customFormat="1" ht="15.75" customHeight="1" x14ac:dyDescent="0.25"/>
    <row r="209" s="8" customFormat="1" ht="15.75" customHeight="1" x14ac:dyDescent="0.25"/>
    <row r="210" s="8" customFormat="1" ht="15.75" customHeight="1" x14ac:dyDescent="0.25"/>
    <row r="211" s="8" customFormat="1" ht="15.75" customHeight="1" x14ac:dyDescent="0.25"/>
    <row r="212" s="8" customFormat="1" ht="15.75" customHeight="1" x14ac:dyDescent="0.25"/>
    <row r="213" s="8" customFormat="1" ht="15.75" customHeight="1" x14ac:dyDescent="0.25"/>
    <row r="214" s="8" customFormat="1" ht="15.75" customHeight="1" x14ac:dyDescent="0.25"/>
    <row r="215" s="8" customFormat="1" ht="15.75" customHeight="1" x14ac:dyDescent="0.25"/>
    <row r="216" s="8" customFormat="1" ht="15.75" customHeight="1" x14ac:dyDescent="0.25"/>
    <row r="217" s="8" customFormat="1" ht="15.75" customHeight="1" x14ac:dyDescent="0.25"/>
    <row r="218" s="8" customFormat="1" ht="15.75" customHeight="1" x14ac:dyDescent="0.25"/>
    <row r="219" s="8" customFormat="1" ht="15.75" customHeight="1" x14ac:dyDescent="0.25"/>
    <row r="220" s="8" customFormat="1" ht="15.75" customHeight="1" x14ac:dyDescent="0.25"/>
    <row r="221" s="8" customFormat="1" ht="15.75" customHeight="1" x14ac:dyDescent="0.25"/>
    <row r="222" s="8" customFormat="1" ht="15.75" customHeight="1" x14ac:dyDescent="0.25"/>
    <row r="223" s="8" customFormat="1" ht="15.75" customHeight="1" x14ac:dyDescent="0.25"/>
    <row r="224" s="8" customFormat="1" ht="15.75" customHeight="1" x14ac:dyDescent="0.25"/>
    <row r="225" s="8" customFormat="1" ht="15.75" customHeight="1" x14ac:dyDescent="0.25"/>
    <row r="226" s="8" customFormat="1" ht="15.75" customHeight="1" x14ac:dyDescent="0.25"/>
    <row r="227" s="8" customFormat="1" ht="15.75" customHeight="1" x14ac:dyDescent="0.25"/>
    <row r="228" s="8" customFormat="1" ht="15.75" customHeight="1" x14ac:dyDescent="0.25"/>
    <row r="229" s="8" customFormat="1" ht="15.75" customHeight="1" x14ac:dyDescent="0.25"/>
    <row r="230" s="8" customFormat="1" ht="15.75" customHeight="1" x14ac:dyDescent="0.25"/>
    <row r="231" s="8" customFormat="1" ht="15.75" customHeight="1" x14ac:dyDescent="0.25"/>
    <row r="232" s="8" customFormat="1" ht="15.75" customHeight="1" x14ac:dyDescent="0.25"/>
    <row r="233" s="8" customFormat="1" ht="15.75" customHeight="1" x14ac:dyDescent="0.25"/>
    <row r="234" s="8" customFormat="1" ht="15.75" customHeight="1" x14ac:dyDescent="0.25"/>
    <row r="235" s="8" customFormat="1" ht="15.75" customHeight="1" x14ac:dyDescent="0.25"/>
    <row r="236" s="8" customFormat="1" ht="15.75" customHeight="1" x14ac:dyDescent="0.25"/>
    <row r="237" s="8" customFormat="1" ht="15.75" customHeight="1" x14ac:dyDescent="0.25"/>
    <row r="238" s="8" customFormat="1" ht="15.75" customHeight="1" x14ac:dyDescent="0.25"/>
    <row r="239" s="8" customFormat="1" ht="15.75" customHeight="1" x14ac:dyDescent="0.25"/>
    <row r="240" s="8" customFormat="1" ht="15.75" customHeight="1" x14ac:dyDescent="0.25"/>
    <row r="241" s="8" customFormat="1" ht="15.75" customHeight="1" x14ac:dyDescent="0.25"/>
    <row r="242" s="8" customFormat="1" ht="15.75" customHeight="1" x14ac:dyDescent="0.25"/>
    <row r="243" s="8" customFormat="1" ht="15.75" customHeight="1" x14ac:dyDescent="0.25"/>
    <row r="244" s="8" customFormat="1" ht="15.75" customHeight="1" x14ac:dyDescent="0.25"/>
    <row r="245" s="8" customFormat="1" ht="15.75" customHeight="1" x14ac:dyDescent="0.25"/>
    <row r="246" s="8" customFormat="1" ht="15.75" customHeight="1" x14ac:dyDescent="0.25"/>
    <row r="247" s="8" customFormat="1" ht="15.75" customHeight="1" x14ac:dyDescent="0.25"/>
    <row r="248" s="8" customFormat="1" ht="15.75" customHeight="1" x14ac:dyDescent="0.25"/>
    <row r="249" s="8" customFormat="1" ht="15.75" customHeight="1" x14ac:dyDescent="0.25"/>
    <row r="250" s="8" customFormat="1" ht="15.75" customHeight="1" x14ac:dyDescent="0.25"/>
    <row r="251" s="8" customFormat="1" ht="15.75" customHeight="1" x14ac:dyDescent="0.25"/>
    <row r="252" s="8" customFormat="1" ht="15.75" customHeight="1" x14ac:dyDescent="0.25"/>
    <row r="253" s="8" customFormat="1" ht="15.75" customHeight="1" x14ac:dyDescent="0.25"/>
    <row r="254" s="8" customFormat="1" ht="15.75" customHeight="1" x14ac:dyDescent="0.25"/>
    <row r="255" s="8" customFormat="1" ht="15.75" customHeight="1" x14ac:dyDescent="0.25"/>
    <row r="256" s="8" customFormat="1" ht="15.75" customHeight="1" x14ac:dyDescent="0.25"/>
    <row r="257" s="8" customFormat="1" ht="15.75" customHeight="1" x14ac:dyDescent="0.25"/>
    <row r="258" s="8" customFormat="1" ht="15.75" customHeight="1" x14ac:dyDescent="0.25"/>
    <row r="259" s="8" customFormat="1" ht="15.75" customHeight="1" x14ac:dyDescent="0.25"/>
    <row r="260" s="8" customFormat="1" ht="15.75" customHeight="1" x14ac:dyDescent="0.25"/>
    <row r="261" s="8" customFormat="1" ht="15.75" customHeight="1" x14ac:dyDescent="0.25"/>
    <row r="262" s="8" customFormat="1" ht="15.75" customHeight="1" x14ac:dyDescent="0.25"/>
    <row r="263" s="8" customFormat="1" ht="15.75" customHeight="1" x14ac:dyDescent="0.25"/>
    <row r="264" s="8" customFormat="1" ht="15.75" customHeight="1" x14ac:dyDescent="0.25"/>
    <row r="265" s="8" customFormat="1" ht="15.75" customHeight="1" x14ac:dyDescent="0.25"/>
    <row r="266" s="8" customFormat="1" ht="15.75" customHeight="1" x14ac:dyDescent="0.25"/>
    <row r="267" s="8" customFormat="1" ht="15.75" customHeight="1" x14ac:dyDescent="0.25"/>
    <row r="268" s="8" customFormat="1" ht="15.75" customHeight="1" x14ac:dyDescent="0.25"/>
    <row r="269" s="8" customFormat="1" ht="15.75" customHeight="1" x14ac:dyDescent="0.25"/>
    <row r="270" s="8" customFormat="1" ht="15.75" customHeight="1" x14ac:dyDescent="0.25"/>
    <row r="271" s="8" customFormat="1" ht="15.75" customHeight="1" x14ac:dyDescent="0.25"/>
    <row r="272" s="8" customFormat="1" ht="15.75" customHeight="1" x14ac:dyDescent="0.25"/>
    <row r="273" s="8" customFormat="1" ht="15.75" customHeight="1" x14ac:dyDescent="0.25"/>
    <row r="274" s="8" customFormat="1" ht="15.75" customHeight="1" x14ac:dyDescent="0.25"/>
    <row r="275" s="8" customFormat="1" ht="15.75" customHeight="1" x14ac:dyDescent="0.25"/>
    <row r="276" s="8" customFormat="1" ht="15.75" customHeight="1" x14ac:dyDescent="0.25"/>
    <row r="277" s="8" customFormat="1" ht="15.75" customHeight="1" x14ac:dyDescent="0.25"/>
    <row r="278" s="8" customFormat="1" ht="15.75" customHeight="1" x14ac:dyDescent="0.25"/>
    <row r="279" s="8" customFormat="1" ht="15.75" customHeight="1" x14ac:dyDescent="0.25"/>
    <row r="280" s="8" customFormat="1" ht="15.75" customHeight="1" x14ac:dyDescent="0.25"/>
    <row r="281" s="8" customFormat="1" ht="15.75" customHeight="1" x14ac:dyDescent="0.25"/>
    <row r="282" s="8" customFormat="1" ht="15.75" customHeight="1" x14ac:dyDescent="0.25"/>
    <row r="283" s="8" customFormat="1" ht="15.75" customHeight="1" x14ac:dyDescent="0.25"/>
    <row r="284" s="8" customFormat="1" ht="15.75" customHeight="1" x14ac:dyDescent="0.25"/>
    <row r="285" s="8" customFormat="1" ht="15.75" customHeight="1" x14ac:dyDescent="0.25"/>
    <row r="286" s="8" customFormat="1" ht="15.75" customHeight="1" x14ac:dyDescent="0.25"/>
    <row r="287" s="8" customFormat="1" ht="15.75" customHeight="1" x14ac:dyDescent="0.25"/>
    <row r="288" s="8" customFormat="1" ht="15.75" customHeight="1" x14ac:dyDescent="0.25"/>
    <row r="289" s="8" customFormat="1" ht="15.75" customHeight="1" x14ac:dyDescent="0.25"/>
    <row r="290" s="8" customFormat="1" ht="15.75" customHeight="1" x14ac:dyDescent="0.25"/>
    <row r="291" s="8" customFormat="1" ht="15.75" customHeight="1" x14ac:dyDescent="0.25"/>
    <row r="292" s="8" customFormat="1" ht="15.75" customHeight="1" x14ac:dyDescent="0.25"/>
    <row r="293" s="8" customFormat="1" ht="15.75" customHeight="1" x14ac:dyDescent="0.25"/>
    <row r="294" s="8" customFormat="1" ht="15.75" customHeight="1" x14ac:dyDescent="0.25"/>
    <row r="295" s="8" customFormat="1" ht="15.75" customHeight="1" x14ac:dyDescent="0.25"/>
    <row r="296" s="8" customFormat="1" ht="15.75" customHeight="1" x14ac:dyDescent="0.25"/>
    <row r="297" s="8" customFormat="1" ht="15.75" customHeight="1" x14ac:dyDescent="0.25"/>
    <row r="298" s="8" customFormat="1" ht="15.75" customHeight="1" x14ac:dyDescent="0.25"/>
    <row r="299" s="8" customFormat="1" ht="15.75" customHeight="1" x14ac:dyDescent="0.25"/>
    <row r="300" s="8" customFormat="1" ht="15.75" customHeight="1" x14ac:dyDescent="0.25"/>
    <row r="301" s="8" customFormat="1" ht="15.75" customHeight="1" x14ac:dyDescent="0.25"/>
    <row r="302" s="8" customFormat="1" ht="15.75" customHeight="1" x14ac:dyDescent="0.25"/>
    <row r="303" s="8" customFormat="1" ht="15.75" customHeight="1" x14ac:dyDescent="0.25"/>
    <row r="304" s="8" customFormat="1" ht="15.75" customHeight="1" x14ac:dyDescent="0.25"/>
    <row r="305" s="8" customFormat="1" ht="15.75" customHeight="1" x14ac:dyDescent="0.25"/>
    <row r="306" s="8" customFormat="1" ht="15.75" customHeight="1" x14ac:dyDescent="0.25"/>
    <row r="307" s="8" customFormat="1" ht="15.75" customHeight="1" x14ac:dyDescent="0.25"/>
    <row r="308" s="8" customFormat="1" ht="15.75" customHeight="1" x14ac:dyDescent="0.25"/>
    <row r="309" s="8" customFormat="1" ht="15.75" customHeight="1" x14ac:dyDescent="0.25"/>
    <row r="310" s="8" customFormat="1" ht="15.75" customHeight="1" x14ac:dyDescent="0.25"/>
    <row r="311" s="8" customFormat="1" ht="15.75" customHeight="1" x14ac:dyDescent="0.25"/>
    <row r="312" s="8" customFormat="1" ht="15.75" customHeight="1" x14ac:dyDescent="0.25"/>
    <row r="313" s="8" customFormat="1" ht="15.75" customHeight="1" x14ac:dyDescent="0.25"/>
    <row r="314" s="8" customFormat="1" ht="15.75" customHeight="1" x14ac:dyDescent="0.25"/>
    <row r="315" s="8" customFormat="1" ht="15.75" customHeight="1" x14ac:dyDescent="0.25"/>
    <row r="316" s="8" customFormat="1" ht="15.75" customHeight="1" x14ac:dyDescent="0.25"/>
    <row r="317" s="8" customFormat="1" ht="15.75" customHeight="1" x14ac:dyDescent="0.25"/>
    <row r="318" s="8" customFormat="1" ht="15.75" customHeight="1" x14ac:dyDescent="0.25"/>
    <row r="319" s="8" customFormat="1" ht="15.75" customHeight="1" x14ac:dyDescent="0.25"/>
    <row r="320" s="8" customFormat="1" ht="15.75" customHeight="1" x14ac:dyDescent="0.25"/>
    <row r="321" s="8" customFormat="1" ht="15.75" customHeight="1" x14ac:dyDescent="0.25"/>
    <row r="322" s="8" customFormat="1" ht="15.75" customHeight="1" x14ac:dyDescent="0.25"/>
    <row r="323" s="8" customFormat="1" ht="15.75" customHeight="1" x14ac:dyDescent="0.25"/>
    <row r="324" s="8" customFormat="1" ht="15.75" customHeight="1" x14ac:dyDescent="0.25"/>
    <row r="325" s="8" customFormat="1" ht="15.75" customHeight="1" x14ac:dyDescent="0.25"/>
    <row r="326" s="8" customFormat="1" ht="15.75" customHeight="1" x14ac:dyDescent="0.25"/>
    <row r="327" s="8" customFormat="1" ht="15.75" customHeight="1" x14ac:dyDescent="0.25"/>
    <row r="328" s="8" customFormat="1" ht="15.75" customHeight="1" x14ac:dyDescent="0.25"/>
    <row r="329" s="8" customFormat="1" ht="15.75" customHeight="1" x14ac:dyDescent="0.25"/>
    <row r="330" s="8" customFormat="1" ht="15.75" customHeight="1" x14ac:dyDescent="0.25"/>
    <row r="331" s="8" customFormat="1" ht="15.75" customHeight="1" x14ac:dyDescent="0.25"/>
    <row r="332" s="8" customFormat="1" ht="15.75" customHeight="1" x14ac:dyDescent="0.25"/>
    <row r="333" s="8" customFormat="1" ht="15.75" customHeight="1" x14ac:dyDescent="0.25"/>
    <row r="334" s="8" customFormat="1" ht="15.75" customHeight="1" x14ac:dyDescent="0.25"/>
    <row r="335" s="8" customFormat="1" ht="15.75" customHeight="1" x14ac:dyDescent="0.25"/>
    <row r="336" s="8" customFormat="1" ht="15.75" customHeight="1" x14ac:dyDescent="0.25"/>
    <row r="337" s="8" customFormat="1" ht="15.75" customHeight="1" x14ac:dyDescent="0.25"/>
    <row r="338" s="8" customFormat="1" ht="15.75" customHeight="1" x14ac:dyDescent="0.25"/>
    <row r="339" s="8" customFormat="1" ht="15.75" customHeight="1" x14ac:dyDescent="0.25"/>
    <row r="340" s="8" customFormat="1" ht="15.75" customHeight="1" x14ac:dyDescent="0.25"/>
    <row r="341" s="8" customFormat="1" ht="15.75" customHeight="1" x14ac:dyDescent="0.25"/>
    <row r="342" s="8" customFormat="1" ht="15.75" customHeight="1" x14ac:dyDescent="0.25"/>
    <row r="343" s="8" customFormat="1" ht="15.75" customHeight="1" x14ac:dyDescent="0.25"/>
    <row r="344" s="8" customFormat="1" ht="15.75" customHeight="1" x14ac:dyDescent="0.25"/>
    <row r="345" s="8" customFormat="1" ht="15.75" customHeight="1" x14ac:dyDescent="0.25"/>
    <row r="346" s="8" customFormat="1" ht="15.75" customHeight="1" x14ac:dyDescent="0.25"/>
    <row r="347" s="8" customFormat="1" ht="15.75" customHeight="1" x14ac:dyDescent="0.25"/>
    <row r="348" s="8" customFormat="1" ht="15.75" customHeight="1" x14ac:dyDescent="0.25"/>
    <row r="349" s="8" customFormat="1" ht="15.75" customHeight="1" x14ac:dyDescent="0.25"/>
    <row r="350" s="8" customFormat="1" ht="15.75" customHeight="1" x14ac:dyDescent="0.25"/>
    <row r="351" s="8" customFormat="1" ht="15.75" customHeight="1" x14ac:dyDescent="0.25"/>
    <row r="352" s="8" customFormat="1" ht="15.75" customHeight="1" x14ac:dyDescent="0.25"/>
    <row r="353" s="8" customFormat="1" ht="15.75" customHeight="1" x14ac:dyDescent="0.25"/>
    <row r="354" s="8" customFormat="1" ht="15.75" customHeight="1" x14ac:dyDescent="0.25"/>
    <row r="355" s="8" customFormat="1" ht="15.75" customHeight="1" x14ac:dyDescent="0.25"/>
    <row r="356" s="8" customFormat="1" ht="15.75" customHeight="1" x14ac:dyDescent="0.25"/>
    <row r="357" s="8" customFormat="1" ht="15.75" customHeight="1" x14ac:dyDescent="0.25"/>
    <row r="358" s="8" customFormat="1" ht="15.75" customHeight="1" x14ac:dyDescent="0.25"/>
    <row r="359" s="8" customFormat="1" ht="15.75" customHeight="1" x14ac:dyDescent="0.25"/>
    <row r="360" s="8" customFormat="1" ht="15.75" customHeight="1" x14ac:dyDescent="0.25"/>
    <row r="361" s="8" customFormat="1" ht="15.75" customHeight="1" x14ac:dyDescent="0.25"/>
    <row r="362" s="8" customFormat="1" ht="15.75" customHeight="1" x14ac:dyDescent="0.25"/>
    <row r="363" s="8" customFormat="1" ht="15.75" customHeight="1" x14ac:dyDescent="0.25"/>
    <row r="364" s="8" customFormat="1" ht="15.75" customHeight="1" x14ac:dyDescent="0.25"/>
    <row r="365" s="8" customFormat="1" ht="15.75" customHeight="1" x14ac:dyDescent="0.25"/>
    <row r="366" s="8" customFormat="1" ht="15.75" customHeight="1" x14ac:dyDescent="0.25"/>
    <row r="367" s="8" customFormat="1" ht="15.75" customHeight="1" x14ac:dyDescent="0.25"/>
    <row r="368" s="8" customFormat="1" ht="15.75" customHeight="1" x14ac:dyDescent="0.25"/>
    <row r="369" s="8" customFormat="1" ht="15.75" customHeight="1" x14ac:dyDescent="0.25"/>
    <row r="370" s="8" customFormat="1" ht="15.75" customHeight="1" x14ac:dyDescent="0.25"/>
    <row r="371" s="8" customFormat="1" ht="15.75" customHeight="1" x14ac:dyDescent="0.25"/>
    <row r="372" s="8" customFormat="1" ht="15.75" customHeight="1" x14ac:dyDescent="0.25"/>
    <row r="373" s="8" customFormat="1" ht="15.75" customHeight="1" x14ac:dyDescent="0.25"/>
    <row r="374" s="8" customFormat="1" ht="15.75" customHeight="1" x14ac:dyDescent="0.25"/>
    <row r="375" s="8" customFormat="1" ht="15.75" customHeight="1" x14ac:dyDescent="0.25"/>
    <row r="376" s="8" customFormat="1" ht="15.75" customHeight="1" x14ac:dyDescent="0.25"/>
    <row r="377" s="8" customFormat="1" ht="15.75" customHeight="1" x14ac:dyDescent="0.25"/>
    <row r="378" s="8" customFormat="1" ht="15.75" customHeight="1" x14ac:dyDescent="0.25"/>
    <row r="379" s="8" customFormat="1" ht="15.75" customHeight="1" x14ac:dyDescent="0.25"/>
    <row r="380" s="8" customFormat="1" ht="15.75" customHeight="1" x14ac:dyDescent="0.25"/>
    <row r="381" s="8" customFormat="1" ht="15.75" customHeight="1" x14ac:dyDescent="0.25"/>
    <row r="382" s="8" customFormat="1" ht="15.75" customHeight="1" x14ac:dyDescent="0.25"/>
    <row r="383" s="8" customFormat="1" ht="15.75" customHeight="1" x14ac:dyDescent="0.25"/>
    <row r="384" s="8" customFormat="1" ht="15.75" customHeight="1" x14ac:dyDescent="0.25"/>
    <row r="385" s="8" customFormat="1" ht="15.75" customHeight="1" x14ac:dyDescent="0.25"/>
    <row r="386" s="8" customFormat="1" ht="15.75" customHeight="1" x14ac:dyDescent="0.25"/>
    <row r="387" s="8" customFormat="1" ht="15.75" customHeight="1" x14ac:dyDescent="0.25"/>
    <row r="388" s="8" customFormat="1" ht="15.75" customHeight="1" x14ac:dyDescent="0.25"/>
    <row r="389" s="8" customFormat="1" ht="15.75" customHeight="1" x14ac:dyDescent="0.25"/>
    <row r="390" s="8" customFormat="1" ht="15.75" customHeight="1" x14ac:dyDescent="0.25"/>
    <row r="391" s="8" customFormat="1" ht="15.75" customHeight="1" x14ac:dyDescent="0.25"/>
    <row r="392" s="8" customFormat="1" ht="15.75" customHeight="1" x14ac:dyDescent="0.25"/>
    <row r="393" s="8" customFormat="1" ht="15.75" customHeight="1" x14ac:dyDescent="0.25"/>
    <row r="394" s="8" customFormat="1" ht="15.75" customHeight="1" x14ac:dyDescent="0.25"/>
    <row r="395" s="8" customFormat="1" ht="15.75" customHeight="1" x14ac:dyDescent="0.25"/>
    <row r="396" s="8" customFormat="1" ht="15.75" customHeight="1" x14ac:dyDescent="0.25"/>
    <row r="397" s="8" customFormat="1" ht="15.75" customHeight="1" x14ac:dyDescent="0.25"/>
    <row r="398" s="8" customFormat="1" ht="15.75" customHeight="1" x14ac:dyDescent="0.25"/>
    <row r="399" s="8" customFormat="1" ht="15.75" customHeight="1" x14ac:dyDescent="0.25"/>
    <row r="400" s="8" customFormat="1" ht="15.75" customHeight="1" x14ac:dyDescent="0.25"/>
    <row r="401" s="8" customFormat="1" ht="15.75" customHeight="1" x14ac:dyDescent="0.25"/>
    <row r="402" s="8" customFormat="1" ht="15.75" customHeight="1" x14ac:dyDescent="0.25"/>
    <row r="403" s="8" customFormat="1" ht="15.75" customHeight="1" x14ac:dyDescent="0.25"/>
    <row r="404" s="8" customFormat="1" ht="15.75" customHeight="1" x14ac:dyDescent="0.25"/>
    <row r="405" s="8" customFormat="1" ht="15.75" customHeight="1" x14ac:dyDescent="0.25"/>
    <row r="406" s="8" customFormat="1" ht="15.75" customHeight="1" x14ac:dyDescent="0.25"/>
    <row r="407" s="8" customFormat="1" ht="15.75" customHeight="1" x14ac:dyDescent="0.25"/>
    <row r="408" s="8" customFormat="1" ht="15.75" customHeight="1" x14ac:dyDescent="0.25"/>
    <row r="409" s="8" customFormat="1" ht="15.75" customHeight="1" x14ac:dyDescent="0.25"/>
    <row r="410" s="8" customFormat="1" ht="15.75" customHeight="1" x14ac:dyDescent="0.25"/>
    <row r="411" s="8" customFormat="1" ht="15.75" customHeight="1" x14ac:dyDescent="0.25"/>
    <row r="412" s="8" customFormat="1" ht="15.75" customHeight="1" x14ac:dyDescent="0.25"/>
    <row r="413" s="8" customFormat="1" ht="15.75" customHeight="1" x14ac:dyDescent="0.25"/>
    <row r="414" s="8" customFormat="1" ht="15.75" customHeight="1" x14ac:dyDescent="0.25"/>
    <row r="415" s="8" customFormat="1" ht="15.75" customHeight="1" x14ac:dyDescent="0.25"/>
    <row r="416" s="8" customFormat="1" ht="15.75" customHeight="1" x14ac:dyDescent="0.25"/>
    <row r="417" s="8" customFormat="1" ht="15.75" customHeight="1" x14ac:dyDescent="0.25"/>
    <row r="418" s="8" customFormat="1" ht="15.75" customHeight="1" x14ac:dyDescent="0.25"/>
    <row r="419" s="8" customFormat="1" ht="15.75" customHeight="1" x14ac:dyDescent="0.25"/>
    <row r="420" s="8" customFormat="1" ht="15.75" customHeight="1" x14ac:dyDescent="0.25"/>
    <row r="421" s="8" customFormat="1" ht="15.75" customHeight="1" x14ac:dyDescent="0.25"/>
    <row r="422" s="8" customFormat="1" ht="15.75" customHeight="1" x14ac:dyDescent="0.25"/>
    <row r="423" s="8" customFormat="1" ht="15.75" customHeight="1" x14ac:dyDescent="0.25"/>
    <row r="424" s="8" customFormat="1" ht="15.75" customHeight="1" x14ac:dyDescent="0.25"/>
    <row r="425" s="8" customFormat="1" ht="15.75" customHeight="1" x14ac:dyDescent="0.25"/>
    <row r="426" s="8" customFormat="1" ht="15.75" customHeight="1" x14ac:dyDescent="0.25"/>
    <row r="427" s="8" customFormat="1" ht="15.75" customHeight="1" x14ac:dyDescent="0.25"/>
    <row r="428" s="8" customFormat="1" ht="15.75" customHeight="1" x14ac:dyDescent="0.25"/>
    <row r="429" s="8" customFormat="1" ht="15.75" customHeight="1" x14ac:dyDescent="0.25"/>
    <row r="430" s="8" customFormat="1" ht="15.75" customHeight="1" x14ac:dyDescent="0.25"/>
    <row r="431" s="8" customFormat="1" ht="15.75" customHeight="1" x14ac:dyDescent="0.25"/>
    <row r="432" s="8" customFormat="1" ht="15.75" customHeight="1" x14ac:dyDescent="0.25"/>
    <row r="433" s="8" customFormat="1" ht="15.75" customHeight="1" x14ac:dyDescent="0.25"/>
    <row r="434" s="8" customFormat="1" ht="15.75" customHeight="1" x14ac:dyDescent="0.25"/>
    <row r="435" s="8" customFormat="1" ht="15.75" customHeight="1" x14ac:dyDescent="0.25"/>
    <row r="436" s="8" customFormat="1" ht="15.75" customHeight="1" x14ac:dyDescent="0.25"/>
    <row r="437" s="8" customFormat="1" ht="15.75" customHeight="1" x14ac:dyDescent="0.25"/>
    <row r="438" s="8" customFormat="1" ht="15.75" customHeight="1" x14ac:dyDescent="0.25"/>
    <row r="439" s="8" customFormat="1" ht="15.75" customHeight="1" x14ac:dyDescent="0.25"/>
    <row r="440" s="8" customFormat="1" ht="15.75" customHeight="1" x14ac:dyDescent="0.25"/>
    <row r="441" s="8" customFormat="1" ht="15.75" customHeight="1" x14ac:dyDescent="0.25"/>
    <row r="442" s="8" customFormat="1" ht="15.75" customHeight="1" x14ac:dyDescent="0.25"/>
    <row r="443" s="8" customFormat="1" ht="15.75" customHeight="1" x14ac:dyDescent="0.25"/>
    <row r="444" s="8" customFormat="1" ht="15.75" customHeight="1" x14ac:dyDescent="0.25"/>
    <row r="445" s="8" customFormat="1" ht="15.75" customHeight="1" x14ac:dyDescent="0.25"/>
    <row r="446" s="8" customFormat="1" ht="15.75" customHeight="1" x14ac:dyDescent="0.25"/>
    <row r="447" s="8" customFormat="1" ht="15.75" customHeight="1" x14ac:dyDescent="0.25"/>
    <row r="448" s="8" customFormat="1" ht="15.75" customHeight="1" x14ac:dyDescent="0.25"/>
    <row r="449" s="8" customFormat="1" ht="15.75" customHeight="1" x14ac:dyDescent="0.25"/>
    <row r="450" s="8" customFormat="1" ht="15.75" customHeight="1" x14ac:dyDescent="0.25"/>
    <row r="451" s="8" customFormat="1" ht="15.75" customHeight="1" x14ac:dyDescent="0.25"/>
    <row r="452" s="8" customFormat="1" ht="15.75" customHeight="1" x14ac:dyDescent="0.25"/>
    <row r="453" s="8" customFormat="1" ht="15.75" customHeight="1" x14ac:dyDescent="0.25"/>
    <row r="454" s="8" customFormat="1" ht="15.75" customHeight="1" x14ac:dyDescent="0.25"/>
    <row r="455" s="8" customFormat="1" ht="15.75" customHeight="1" x14ac:dyDescent="0.25"/>
    <row r="456" s="8" customFormat="1" ht="15.75" customHeight="1" x14ac:dyDescent="0.25"/>
    <row r="457" s="8" customFormat="1" ht="15.75" customHeight="1" x14ac:dyDescent="0.25"/>
    <row r="458" s="8" customFormat="1" ht="15.75" customHeight="1" x14ac:dyDescent="0.25"/>
    <row r="459" s="8" customFormat="1" ht="15.75" customHeight="1" x14ac:dyDescent="0.25"/>
    <row r="460" s="8" customFormat="1" ht="15.75" customHeight="1" x14ac:dyDescent="0.25"/>
    <row r="461" s="8" customFormat="1" ht="15.75" customHeight="1" x14ac:dyDescent="0.25"/>
    <row r="462" s="8" customFormat="1" ht="15.75" customHeight="1" x14ac:dyDescent="0.25"/>
    <row r="463" s="8" customFormat="1" ht="15.75" customHeight="1" x14ac:dyDescent="0.25"/>
    <row r="464" s="8" customFormat="1" ht="15.75" customHeight="1" x14ac:dyDescent="0.25"/>
    <row r="465" s="8" customFormat="1" ht="15.75" customHeight="1" x14ac:dyDescent="0.25"/>
    <row r="466" s="8" customFormat="1" ht="15.75" customHeight="1" x14ac:dyDescent="0.25"/>
    <row r="467" s="8" customFormat="1" ht="15.75" customHeight="1" x14ac:dyDescent="0.25"/>
    <row r="468" s="8" customFormat="1" ht="15.75" customHeight="1" x14ac:dyDescent="0.25"/>
    <row r="469" s="8" customFormat="1" ht="15.75" customHeight="1" x14ac:dyDescent="0.25"/>
    <row r="470" s="8" customFormat="1" ht="15.75" customHeight="1" x14ac:dyDescent="0.25"/>
    <row r="471" s="8" customFormat="1" ht="15.75" customHeight="1" x14ac:dyDescent="0.25"/>
    <row r="472" s="8" customFormat="1" ht="15.75" customHeight="1" x14ac:dyDescent="0.25"/>
    <row r="473" s="8" customFormat="1" ht="15.75" customHeight="1" x14ac:dyDescent="0.25"/>
    <row r="474" s="8" customFormat="1" ht="15.75" customHeight="1" x14ac:dyDescent="0.25"/>
    <row r="475" s="8" customFormat="1" ht="15.75" customHeight="1" x14ac:dyDescent="0.25"/>
    <row r="476" s="8" customFormat="1" ht="15.75" customHeight="1" x14ac:dyDescent="0.25"/>
    <row r="477" s="8" customFormat="1" ht="15.75" customHeight="1" x14ac:dyDescent="0.25"/>
    <row r="478" s="8" customFormat="1" ht="15.75" customHeight="1" x14ac:dyDescent="0.25"/>
    <row r="479" s="8" customFormat="1" ht="15.75" customHeight="1" x14ac:dyDescent="0.25"/>
    <row r="480" s="8" customFormat="1" ht="15.75" customHeight="1" x14ac:dyDescent="0.25"/>
    <row r="481" s="8" customFormat="1" ht="15.75" customHeight="1" x14ac:dyDescent="0.25"/>
    <row r="482" s="8" customFormat="1" ht="15.75" customHeight="1" x14ac:dyDescent="0.25"/>
    <row r="483" s="8" customFormat="1" ht="15.75" customHeight="1" x14ac:dyDescent="0.25"/>
    <row r="484" s="8" customFormat="1" ht="15.75" customHeight="1" x14ac:dyDescent="0.25"/>
    <row r="485" s="8" customFormat="1" ht="15.75" customHeight="1" x14ac:dyDescent="0.25"/>
    <row r="486" s="8" customFormat="1" ht="15.75" customHeight="1" x14ac:dyDescent="0.25"/>
    <row r="487" s="8" customFormat="1" ht="15.75" customHeight="1" x14ac:dyDescent="0.25"/>
    <row r="488" s="8" customFormat="1" ht="15.75" customHeight="1" x14ac:dyDescent="0.25"/>
    <row r="489" s="8" customFormat="1" ht="15.75" customHeight="1" x14ac:dyDescent="0.25"/>
    <row r="490" s="8" customFormat="1" ht="15.75" customHeight="1" x14ac:dyDescent="0.25"/>
    <row r="491" s="8" customFormat="1" ht="15.75" customHeight="1" x14ac:dyDescent="0.25"/>
    <row r="492" s="8" customFormat="1" ht="15.75" customHeight="1" x14ac:dyDescent="0.25"/>
    <row r="493" s="8" customFormat="1" ht="15.75" customHeight="1" x14ac:dyDescent="0.25"/>
    <row r="494" s="8" customFormat="1" ht="15.75" customHeight="1" x14ac:dyDescent="0.25"/>
    <row r="495" s="8" customFormat="1" ht="15.75" customHeight="1" x14ac:dyDescent="0.25"/>
    <row r="496" s="8" customFormat="1" ht="15.75" customHeight="1" x14ac:dyDescent="0.25"/>
    <row r="497" s="8" customFormat="1" ht="15.75" customHeight="1" x14ac:dyDescent="0.25"/>
    <row r="498" s="8" customFormat="1" ht="15.75" customHeight="1" x14ac:dyDescent="0.25"/>
    <row r="499" s="8" customFormat="1" ht="15.75" customHeight="1" x14ac:dyDescent="0.25"/>
    <row r="500" s="8" customFormat="1" ht="15.75" customHeight="1" x14ac:dyDescent="0.25"/>
    <row r="501" s="8" customFormat="1" ht="15.75" customHeight="1" x14ac:dyDescent="0.25"/>
    <row r="502" s="8" customFormat="1" ht="15.75" customHeight="1" x14ac:dyDescent="0.25"/>
    <row r="503" s="8" customFormat="1" ht="15.75" customHeight="1" x14ac:dyDescent="0.25"/>
    <row r="504" s="8" customFormat="1" ht="15.75" customHeight="1" x14ac:dyDescent="0.25"/>
    <row r="505" s="8" customFormat="1" ht="15.75" customHeight="1" x14ac:dyDescent="0.25"/>
    <row r="506" s="8" customFormat="1" ht="15.75" customHeight="1" x14ac:dyDescent="0.25"/>
    <row r="507" s="8" customFormat="1" ht="15.75" customHeight="1" x14ac:dyDescent="0.25"/>
    <row r="508" s="8" customFormat="1" ht="15.75" customHeight="1" x14ac:dyDescent="0.25"/>
    <row r="509" s="8" customFormat="1" ht="15.75" customHeight="1" x14ac:dyDescent="0.25"/>
    <row r="510" s="8" customFormat="1" ht="15.75" customHeight="1" x14ac:dyDescent="0.25"/>
    <row r="511" s="8" customFormat="1" ht="15.75" customHeight="1" x14ac:dyDescent="0.25"/>
    <row r="512" s="8" customFormat="1" ht="15.75" customHeight="1" x14ac:dyDescent="0.25"/>
    <row r="513" s="8" customFormat="1" ht="15.75" customHeight="1" x14ac:dyDescent="0.25"/>
    <row r="514" s="8" customFormat="1" ht="15.75" customHeight="1" x14ac:dyDescent="0.25"/>
    <row r="515" s="8" customFormat="1" ht="15.75" customHeight="1" x14ac:dyDescent="0.25"/>
    <row r="516" s="8" customFormat="1" ht="15.75" customHeight="1" x14ac:dyDescent="0.25"/>
    <row r="517" s="8" customFormat="1" ht="15.75" customHeight="1" x14ac:dyDescent="0.25"/>
    <row r="518" s="8" customFormat="1" ht="15.75" customHeight="1" x14ac:dyDescent="0.25"/>
    <row r="519" s="8" customFormat="1" ht="15.75" customHeight="1" x14ac:dyDescent="0.25"/>
    <row r="520" s="8" customFormat="1" ht="15.75" customHeight="1" x14ac:dyDescent="0.25"/>
    <row r="521" s="8" customFormat="1" ht="15.75" customHeight="1" x14ac:dyDescent="0.25"/>
    <row r="522" s="8" customFormat="1" ht="15.75" customHeight="1" x14ac:dyDescent="0.25"/>
    <row r="523" s="8" customFormat="1" ht="15.75" customHeight="1" x14ac:dyDescent="0.25"/>
    <row r="524" s="8" customFormat="1" ht="15.75" customHeight="1" x14ac:dyDescent="0.25"/>
    <row r="525" s="8" customFormat="1" ht="15.75" customHeight="1" x14ac:dyDescent="0.25"/>
    <row r="526" s="8" customFormat="1" ht="15.75" customHeight="1" x14ac:dyDescent="0.25"/>
    <row r="527" s="8" customFormat="1" ht="15.75" customHeight="1" x14ac:dyDescent="0.25"/>
    <row r="528" s="8" customFormat="1" ht="15.75" customHeight="1" x14ac:dyDescent="0.25"/>
    <row r="529" s="8" customFormat="1" ht="15.75" customHeight="1" x14ac:dyDescent="0.25"/>
    <row r="530" s="8" customFormat="1" ht="15.75" customHeight="1" x14ac:dyDescent="0.25"/>
    <row r="531" s="8" customFormat="1" ht="15.75" customHeight="1" x14ac:dyDescent="0.25"/>
    <row r="532" s="8" customFormat="1" ht="15.75" customHeight="1" x14ac:dyDescent="0.25"/>
    <row r="533" s="8" customFormat="1" ht="15.75" customHeight="1" x14ac:dyDescent="0.25"/>
    <row r="534" s="8" customFormat="1" ht="15.75" customHeight="1" x14ac:dyDescent="0.25"/>
    <row r="535" s="8" customFormat="1" ht="15.75" customHeight="1" x14ac:dyDescent="0.25"/>
    <row r="536" s="8" customFormat="1" ht="15.75" customHeight="1" x14ac:dyDescent="0.25"/>
    <row r="537" s="8" customFormat="1" ht="15.75" customHeight="1" x14ac:dyDescent="0.25"/>
    <row r="538" s="8" customFormat="1" ht="15.75" customHeight="1" x14ac:dyDescent="0.25"/>
    <row r="539" s="8" customFormat="1" ht="15.75" customHeight="1" x14ac:dyDescent="0.25"/>
    <row r="540" s="8" customFormat="1" ht="15.75" customHeight="1" x14ac:dyDescent="0.25"/>
    <row r="541" s="8" customFormat="1" ht="15.75" customHeight="1" x14ac:dyDescent="0.25"/>
    <row r="542" s="8" customFormat="1" ht="15.75" customHeight="1" x14ac:dyDescent="0.25"/>
    <row r="543" s="8" customFormat="1" ht="15.75" customHeight="1" x14ac:dyDescent="0.25"/>
    <row r="544" s="8" customFormat="1" ht="15.75" customHeight="1" x14ac:dyDescent="0.25"/>
    <row r="545" s="8" customFormat="1" ht="15.75" customHeight="1" x14ac:dyDescent="0.25"/>
    <row r="546" s="8" customFormat="1" ht="15.75" customHeight="1" x14ac:dyDescent="0.25"/>
    <row r="547" s="8" customFormat="1" ht="15.75" customHeight="1" x14ac:dyDescent="0.25"/>
    <row r="548" s="8" customFormat="1" ht="15.75" customHeight="1" x14ac:dyDescent="0.25"/>
    <row r="549" s="8" customFormat="1" ht="15.75" customHeight="1" x14ac:dyDescent="0.25"/>
    <row r="550" s="8" customFormat="1" ht="15.75" customHeight="1" x14ac:dyDescent="0.25"/>
    <row r="551" s="8" customFormat="1" ht="15.75" customHeight="1" x14ac:dyDescent="0.25"/>
    <row r="552" s="8" customFormat="1" ht="15.75" customHeight="1" x14ac:dyDescent="0.25"/>
    <row r="553" s="8" customFormat="1" ht="15.75" customHeight="1" x14ac:dyDescent="0.25"/>
    <row r="554" s="8" customFormat="1" ht="15.75" customHeight="1" x14ac:dyDescent="0.25"/>
    <row r="555" s="8" customFormat="1" ht="15.75" customHeight="1" x14ac:dyDescent="0.25"/>
    <row r="556" s="8" customFormat="1" ht="15.75" customHeight="1" x14ac:dyDescent="0.25"/>
    <row r="557" s="8" customFormat="1" ht="15.75" customHeight="1" x14ac:dyDescent="0.25"/>
    <row r="558" s="8" customFormat="1" ht="15.75" customHeight="1" x14ac:dyDescent="0.25"/>
    <row r="559" s="8" customFormat="1" ht="15.75" customHeight="1" x14ac:dyDescent="0.25"/>
    <row r="560" s="8" customFormat="1" ht="15.75" customHeight="1" x14ac:dyDescent="0.25"/>
    <row r="561" s="8" customFormat="1" ht="15.75" customHeight="1" x14ac:dyDescent="0.25"/>
    <row r="562" s="8" customFormat="1" ht="15.75" customHeight="1" x14ac:dyDescent="0.25"/>
    <row r="563" s="8" customFormat="1" ht="15.75" customHeight="1" x14ac:dyDescent="0.25"/>
    <row r="564" s="8" customFormat="1" ht="15.75" customHeight="1" x14ac:dyDescent="0.25"/>
    <row r="565" s="8" customFormat="1" ht="15.75" customHeight="1" x14ac:dyDescent="0.25"/>
    <row r="566" s="8" customFormat="1" ht="15.75" customHeight="1" x14ac:dyDescent="0.25"/>
    <row r="567" s="8" customFormat="1" ht="15.75" customHeight="1" x14ac:dyDescent="0.25"/>
    <row r="568" s="8" customFormat="1" ht="15.75" customHeight="1" x14ac:dyDescent="0.25"/>
    <row r="569" s="8" customFormat="1" ht="15.75" customHeight="1" x14ac:dyDescent="0.25"/>
    <row r="570" s="8" customFormat="1" ht="15.75" customHeight="1" x14ac:dyDescent="0.25"/>
    <row r="571" s="8" customFormat="1" ht="15.75" customHeight="1" x14ac:dyDescent="0.25"/>
    <row r="572" s="8" customFormat="1" ht="15.75" customHeight="1" x14ac:dyDescent="0.25"/>
    <row r="573" s="8" customFormat="1" ht="15.75" customHeight="1" x14ac:dyDescent="0.25"/>
    <row r="574" s="8" customFormat="1" ht="15.75" customHeight="1" x14ac:dyDescent="0.25"/>
    <row r="575" s="8" customFormat="1" ht="15.75" customHeight="1" x14ac:dyDescent="0.25"/>
    <row r="576" s="8" customFormat="1" ht="15.75" customHeight="1" x14ac:dyDescent="0.25"/>
    <row r="577" s="8" customFormat="1" ht="15.75" customHeight="1" x14ac:dyDescent="0.25"/>
    <row r="578" s="8" customFormat="1" ht="15.75" customHeight="1" x14ac:dyDescent="0.25"/>
    <row r="579" s="8" customFormat="1" ht="15.75" customHeight="1" x14ac:dyDescent="0.25"/>
    <row r="580" s="8" customFormat="1" ht="15.75" customHeight="1" x14ac:dyDescent="0.25"/>
    <row r="581" s="8" customFormat="1" ht="15.75" customHeight="1" x14ac:dyDescent="0.25"/>
    <row r="582" s="8" customFormat="1" ht="15.75" customHeight="1" x14ac:dyDescent="0.25"/>
    <row r="583" s="8" customFormat="1" ht="15.75" customHeight="1" x14ac:dyDescent="0.25"/>
    <row r="584" s="8" customFormat="1" ht="15.75" customHeight="1" x14ac:dyDescent="0.25"/>
    <row r="585" s="8" customFormat="1" ht="15.75" customHeight="1" x14ac:dyDescent="0.25"/>
    <row r="586" s="8" customFormat="1" ht="15.75" customHeight="1" x14ac:dyDescent="0.25"/>
    <row r="587" s="8" customFormat="1" ht="15.75" customHeight="1" x14ac:dyDescent="0.25"/>
    <row r="588" s="8" customFormat="1" ht="15.75" customHeight="1" x14ac:dyDescent="0.25"/>
    <row r="589" s="8" customFormat="1" ht="15.75" customHeight="1" x14ac:dyDescent="0.25"/>
    <row r="590" s="8" customFormat="1" ht="15.75" customHeight="1" x14ac:dyDescent="0.25"/>
    <row r="591" s="8" customFormat="1" ht="15.75" customHeight="1" x14ac:dyDescent="0.25"/>
    <row r="592" s="8" customFormat="1" ht="15.75" customHeight="1" x14ac:dyDescent="0.25"/>
    <row r="593" s="8" customFormat="1" ht="15.75" customHeight="1" x14ac:dyDescent="0.25"/>
    <row r="594" s="8" customFormat="1" ht="15.75" customHeight="1" x14ac:dyDescent="0.25"/>
    <row r="595" s="8" customFormat="1" ht="15.75" customHeight="1" x14ac:dyDescent="0.25"/>
    <row r="596" s="8" customFormat="1" ht="15.75" customHeight="1" x14ac:dyDescent="0.25"/>
    <row r="597" s="8" customFormat="1" ht="15.75" customHeight="1" x14ac:dyDescent="0.25"/>
    <row r="598" s="8" customFormat="1" ht="15.75" customHeight="1" x14ac:dyDescent="0.25"/>
    <row r="599" s="8" customFormat="1" ht="15.75" customHeight="1" x14ac:dyDescent="0.25"/>
    <row r="600" s="8" customFormat="1" ht="15.75" customHeight="1" x14ac:dyDescent="0.25"/>
    <row r="601" s="8" customFormat="1" ht="15.75" customHeight="1" x14ac:dyDescent="0.25"/>
    <row r="602" s="8" customFormat="1" ht="15.75" customHeight="1" x14ac:dyDescent="0.25"/>
    <row r="603" s="8" customFormat="1" ht="15.75" customHeight="1" x14ac:dyDescent="0.25"/>
    <row r="604" s="8" customFormat="1" ht="15.75" customHeight="1" x14ac:dyDescent="0.25"/>
    <row r="605" s="8" customFormat="1" ht="15.75" customHeight="1" x14ac:dyDescent="0.25"/>
    <row r="606" s="8" customFormat="1" ht="15.75" customHeight="1" x14ac:dyDescent="0.25"/>
    <row r="607" s="8" customFormat="1" ht="15.75" customHeight="1" x14ac:dyDescent="0.25"/>
    <row r="608" s="8" customFormat="1" ht="15.75" customHeight="1" x14ac:dyDescent="0.25"/>
    <row r="609" s="8" customFormat="1" ht="15.75" customHeight="1" x14ac:dyDescent="0.25"/>
    <row r="610" s="8" customFormat="1" ht="15.75" customHeight="1" x14ac:dyDescent="0.25"/>
    <row r="611" s="8" customFormat="1" ht="15.75" customHeight="1" x14ac:dyDescent="0.25"/>
    <row r="612" s="8" customFormat="1" ht="15.75" customHeight="1" x14ac:dyDescent="0.25"/>
    <row r="613" s="8" customFormat="1" ht="15.75" customHeight="1" x14ac:dyDescent="0.25"/>
    <row r="614" s="8" customFormat="1" ht="15.75" customHeight="1" x14ac:dyDescent="0.25"/>
    <row r="615" s="8" customFormat="1" ht="15.75" customHeight="1" x14ac:dyDescent="0.25"/>
    <row r="616" s="8" customFormat="1" ht="15.75" customHeight="1" x14ac:dyDescent="0.25"/>
    <row r="617" s="8" customFormat="1" ht="15.75" customHeight="1" x14ac:dyDescent="0.25"/>
    <row r="618" s="8" customFormat="1" ht="15.75" customHeight="1" x14ac:dyDescent="0.25"/>
    <row r="619" s="8" customFormat="1" ht="15.75" customHeight="1" x14ac:dyDescent="0.25"/>
    <row r="620" s="8" customFormat="1" ht="15.75" customHeight="1" x14ac:dyDescent="0.25"/>
    <row r="621" s="8" customFormat="1" ht="15.75" customHeight="1" x14ac:dyDescent="0.25"/>
    <row r="622" s="8" customFormat="1" ht="15.75" customHeight="1" x14ac:dyDescent="0.25"/>
    <row r="623" s="8" customFormat="1" ht="15.75" customHeight="1" x14ac:dyDescent="0.25"/>
    <row r="624" s="8" customFormat="1" ht="15.75" customHeight="1" x14ac:dyDescent="0.25"/>
    <row r="625" s="8" customFormat="1" ht="15.75" customHeight="1" x14ac:dyDescent="0.25"/>
    <row r="626" s="8" customFormat="1" ht="15.75" customHeight="1" x14ac:dyDescent="0.25"/>
    <row r="627" s="8" customFormat="1" ht="15.75" customHeight="1" x14ac:dyDescent="0.25"/>
    <row r="628" s="8" customFormat="1" ht="15.75" customHeight="1" x14ac:dyDescent="0.25"/>
    <row r="629" s="8" customFormat="1" ht="15.75" customHeight="1" x14ac:dyDescent="0.25"/>
    <row r="630" s="8" customFormat="1" ht="15.75" customHeight="1" x14ac:dyDescent="0.25"/>
    <row r="631" s="8" customFormat="1" ht="15.75" customHeight="1" x14ac:dyDescent="0.25"/>
    <row r="632" s="8" customFormat="1" ht="15.75" customHeight="1" x14ac:dyDescent="0.25"/>
    <row r="633" s="8" customFormat="1" ht="15.75" customHeight="1" x14ac:dyDescent="0.25"/>
    <row r="634" s="8" customFormat="1" ht="15.75" customHeight="1" x14ac:dyDescent="0.25"/>
    <row r="635" s="8" customFormat="1" ht="15.75" customHeight="1" x14ac:dyDescent="0.25"/>
    <row r="636" s="8" customFormat="1" ht="15.75" customHeight="1" x14ac:dyDescent="0.25"/>
    <row r="637" s="8" customFormat="1" ht="15.75" customHeight="1" x14ac:dyDescent="0.25"/>
    <row r="638" s="8" customFormat="1" ht="15.75" customHeight="1" x14ac:dyDescent="0.25"/>
    <row r="639" s="8" customFormat="1" ht="15.75" customHeight="1" x14ac:dyDescent="0.25"/>
    <row r="640" s="8" customFormat="1" ht="15.75" customHeight="1" x14ac:dyDescent="0.25"/>
    <row r="641" s="8" customFormat="1" ht="15.75" customHeight="1" x14ac:dyDescent="0.25"/>
    <row r="642" s="8" customFormat="1" ht="15.75" customHeight="1" x14ac:dyDescent="0.25"/>
    <row r="643" s="8" customFormat="1" ht="15.75" customHeight="1" x14ac:dyDescent="0.25"/>
    <row r="644" s="8" customFormat="1" ht="15.75" customHeight="1" x14ac:dyDescent="0.25"/>
    <row r="645" s="8" customFormat="1" ht="15.75" customHeight="1" x14ac:dyDescent="0.25"/>
    <row r="646" s="8" customFormat="1" ht="15.75" customHeight="1" x14ac:dyDescent="0.25"/>
    <row r="647" s="8" customFormat="1" ht="15.75" customHeight="1" x14ac:dyDescent="0.25"/>
    <row r="648" s="8" customFormat="1" ht="15.75" customHeight="1" x14ac:dyDescent="0.25"/>
    <row r="649" s="8" customFormat="1" ht="15.75" customHeight="1" x14ac:dyDescent="0.25"/>
    <row r="650" s="8" customFormat="1" ht="15.75" customHeight="1" x14ac:dyDescent="0.25"/>
    <row r="651" s="8" customFormat="1" ht="15.75" customHeight="1" x14ac:dyDescent="0.25"/>
    <row r="652" s="8" customFormat="1" ht="15.75" customHeight="1" x14ac:dyDescent="0.25"/>
    <row r="653" s="8" customFormat="1" ht="15.75" customHeight="1" x14ac:dyDescent="0.25"/>
    <row r="654" s="8" customFormat="1" ht="15.75" customHeight="1" x14ac:dyDescent="0.25"/>
    <row r="655" s="8" customFormat="1" ht="15.75" customHeight="1" x14ac:dyDescent="0.25"/>
    <row r="656" s="8" customFormat="1" ht="15.75" customHeight="1" x14ac:dyDescent="0.25"/>
    <row r="657" s="8" customFormat="1" ht="15.75" customHeight="1" x14ac:dyDescent="0.25"/>
    <row r="658" s="8" customFormat="1" ht="15.75" customHeight="1" x14ac:dyDescent="0.25"/>
    <row r="659" s="8" customFormat="1" ht="15.75" customHeight="1" x14ac:dyDescent="0.25"/>
    <row r="660" s="8" customFormat="1" ht="15.75" customHeight="1" x14ac:dyDescent="0.25"/>
    <row r="661" s="8" customFormat="1" ht="15.75" customHeight="1" x14ac:dyDescent="0.25"/>
    <row r="662" s="8" customFormat="1" ht="15.75" customHeight="1" x14ac:dyDescent="0.25"/>
    <row r="663" s="8" customFormat="1" ht="15.75" customHeight="1" x14ac:dyDescent="0.25"/>
    <row r="664" s="8" customFormat="1" ht="15.75" customHeight="1" x14ac:dyDescent="0.25"/>
    <row r="665" s="8" customFormat="1" ht="15.75" customHeight="1" x14ac:dyDescent="0.25"/>
    <row r="666" s="8" customFormat="1" ht="15.75" customHeight="1" x14ac:dyDescent="0.25"/>
    <row r="667" s="8" customFormat="1" ht="15.75" customHeight="1" x14ac:dyDescent="0.25"/>
    <row r="668" s="8" customFormat="1" ht="15.75" customHeight="1" x14ac:dyDescent="0.25"/>
    <row r="669" s="8" customFormat="1" ht="15.75" customHeight="1" x14ac:dyDescent="0.25"/>
    <row r="670" s="8" customFormat="1" ht="15.75" customHeight="1" x14ac:dyDescent="0.25"/>
    <row r="671" s="8" customFormat="1" ht="15.75" customHeight="1" x14ac:dyDescent="0.25"/>
    <row r="672" s="8" customFormat="1" ht="15.75" customHeight="1" x14ac:dyDescent="0.25"/>
    <row r="673" s="8" customFormat="1" ht="15.75" customHeight="1" x14ac:dyDescent="0.25"/>
    <row r="674" s="8" customFormat="1" ht="15.75" customHeight="1" x14ac:dyDescent="0.25"/>
    <row r="675" s="8" customFormat="1" ht="15.75" customHeight="1" x14ac:dyDescent="0.25"/>
    <row r="676" s="8" customFormat="1" ht="15.75" customHeight="1" x14ac:dyDescent="0.25"/>
    <row r="677" s="8" customFormat="1" ht="15.75" customHeight="1" x14ac:dyDescent="0.25"/>
    <row r="678" s="8" customFormat="1" ht="15.75" customHeight="1" x14ac:dyDescent="0.25"/>
    <row r="679" s="8" customFormat="1" ht="15.75" customHeight="1" x14ac:dyDescent="0.25"/>
    <row r="680" s="8" customFormat="1" ht="15.75" customHeight="1" x14ac:dyDescent="0.25"/>
    <row r="681" s="8" customFormat="1" ht="15.75" customHeight="1" x14ac:dyDescent="0.25"/>
    <row r="682" s="8" customFormat="1" ht="15.75" customHeight="1" x14ac:dyDescent="0.25"/>
    <row r="683" s="8" customFormat="1" ht="15.75" customHeight="1" x14ac:dyDescent="0.25"/>
    <row r="684" s="8" customFormat="1" ht="15.75" customHeight="1" x14ac:dyDescent="0.25"/>
    <row r="685" s="8" customFormat="1" ht="15.75" customHeight="1" x14ac:dyDescent="0.25"/>
    <row r="686" s="8" customFormat="1" ht="15.75" customHeight="1" x14ac:dyDescent="0.25"/>
    <row r="687" s="8" customFormat="1" ht="15.75" customHeight="1" x14ac:dyDescent="0.25"/>
    <row r="688" s="8" customFormat="1" ht="15.75" customHeight="1" x14ac:dyDescent="0.25"/>
    <row r="689" s="8" customFormat="1" ht="15.75" customHeight="1" x14ac:dyDescent="0.25"/>
    <row r="690" s="8" customFormat="1" ht="15.75" customHeight="1" x14ac:dyDescent="0.25"/>
    <row r="691" s="8" customFormat="1" ht="15.75" customHeight="1" x14ac:dyDescent="0.25"/>
    <row r="692" s="8" customFormat="1" ht="15.75" customHeight="1" x14ac:dyDescent="0.25"/>
    <row r="693" s="8" customFormat="1" ht="15.75" customHeight="1" x14ac:dyDescent="0.25"/>
    <row r="694" s="8" customFormat="1" ht="15.75" customHeight="1" x14ac:dyDescent="0.25"/>
    <row r="695" s="8" customFormat="1" ht="15.75" customHeight="1" x14ac:dyDescent="0.25"/>
    <row r="696" s="8" customFormat="1" ht="15.75" customHeight="1" x14ac:dyDescent="0.25"/>
    <row r="697" s="8" customFormat="1" ht="15.75" customHeight="1" x14ac:dyDescent="0.25"/>
    <row r="698" s="8" customFormat="1" ht="15.75" customHeight="1" x14ac:dyDescent="0.25"/>
    <row r="699" s="8" customFormat="1" ht="15.75" customHeight="1" x14ac:dyDescent="0.25"/>
    <row r="700" s="8" customFormat="1" ht="15.75" customHeight="1" x14ac:dyDescent="0.25"/>
    <row r="701" s="8" customFormat="1" ht="15.75" customHeight="1" x14ac:dyDescent="0.25"/>
    <row r="702" s="8" customFormat="1" ht="15.75" customHeight="1" x14ac:dyDescent="0.25"/>
    <row r="703" s="8" customFormat="1" ht="15.75" customHeight="1" x14ac:dyDescent="0.25"/>
    <row r="704" s="8" customFormat="1" ht="15.75" customHeight="1" x14ac:dyDescent="0.25"/>
    <row r="705" s="8" customFormat="1" ht="15.75" customHeight="1" x14ac:dyDescent="0.25"/>
    <row r="706" s="8" customFormat="1" ht="15.75" customHeight="1" x14ac:dyDescent="0.25"/>
    <row r="707" s="8" customFormat="1" ht="15.75" customHeight="1" x14ac:dyDescent="0.25"/>
    <row r="708" s="8" customFormat="1" ht="15.75" customHeight="1" x14ac:dyDescent="0.25"/>
    <row r="709" s="8" customFormat="1" ht="15.75" customHeight="1" x14ac:dyDescent="0.25"/>
    <row r="710" s="8" customFormat="1" ht="15.75" customHeight="1" x14ac:dyDescent="0.25"/>
    <row r="711" s="8" customFormat="1" ht="15.75" customHeight="1" x14ac:dyDescent="0.25"/>
    <row r="712" s="8" customFormat="1" ht="15.75" customHeight="1" x14ac:dyDescent="0.25"/>
    <row r="713" s="8" customFormat="1" ht="15.75" customHeight="1" x14ac:dyDescent="0.25"/>
    <row r="714" s="8" customFormat="1" ht="15.75" customHeight="1" x14ac:dyDescent="0.25"/>
    <row r="715" s="8" customFormat="1" ht="15.75" customHeight="1" x14ac:dyDescent="0.25"/>
    <row r="716" s="8" customFormat="1" ht="15.75" customHeight="1" x14ac:dyDescent="0.25"/>
    <row r="717" s="8" customFormat="1" ht="15.75" customHeight="1" x14ac:dyDescent="0.25"/>
    <row r="718" s="8" customFormat="1" ht="15.75" customHeight="1" x14ac:dyDescent="0.25"/>
    <row r="719" s="8" customFormat="1" ht="15.75" customHeight="1" x14ac:dyDescent="0.25"/>
    <row r="720" s="8" customFormat="1" ht="15.75" customHeight="1" x14ac:dyDescent="0.25"/>
    <row r="721" s="8" customFormat="1" ht="15.75" customHeight="1" x14ac:dyDescent="0.25"/>
    <row r="722" s="8" customFormat="1" ht="15.75" customHeight="1" x14ac:dyDescent="0.25"/>
    <row r="723" s="8" customFormat="1" ht="15.75" customHeight="1" x14ac:dyDescent="0.25"/>
    <row r="724" s="8" customFormat="1" ht="15.75" customHeight="1" x14ac:dyDescent="0.25"/>
    <row r="725" s="8" customFormat="1" ht="15.75" customHeight="1" x14ac:dyDescent="0.25"/>
    <row r="726" s="8" customFormat="1" ht="15.75" customHeight="1" x14ac:dyDescent="0.25"/>
    <row r="727" s="8" customFormat="1" ht="15.75" customHeight="1" x14ac:dyDescent="0.25"/>
    <row r="728" s="8" customFormat="1" ht="15.75" customHeight="1" x14ac:dyDescent="0.25"/>
    <row r="729" s="8" customFormat="1" ht="15.75" customHeight="1" x14ac:dyDescent="0.25"/>
    <row r="730" s="8" customFormat="1" ht="15.75" customHeight="1" x14ac:dyDescent="0.25"/>
    <row r="731" s="8" customFormat="1" ht="15.75" customHeight="1" x14ac:dyDescent="0.25"/>
    <row r="732" s="8" customFormat="1" ht="15.75" customHeight="1" x14ac:dyDescent="0.25"/>
    <row r="733" s="8" customFormat="1" ht="15.75" customHeight="1" x14ac:dyDescent="0.25"/>
    <row r="734" s="8" customFormat="1" ht="15.75" customHeight="1" x14ac:dyDescent="0.25"/>
    <row r="735" s="8" customFormat="1" ht="15.75" customHeight="1" x14ac:dyDescent="0.25"/>
    <row r="736" s="8" customFormat="1" ht="15.75" customHeight="1" x14ac:dyDescent="0.25"/>
    <row r="737" s="8" customFormat="1" ht="15.75" customHeight="1" x14ac:dyDescent="0.25"/>
    <row r="738" s="8" customFormat="1" ht="15.75" customHeight="1" x14ac:dyDescent="0.25"/>
    <row r="739" s="8" customFormat="1" ht="15.75" customHeight="1" x14ac:dyDescent="0.25"/>
    <row r="740" s="8" customFormat="1" ht="15.75" customHeight="1" x14ac:dyDescent="0.25"/>
    <row r="741" s="8" customFormat="1" ht="15.75" customHeight="1" x14ac:dyDescent="0.25"/>
    <row r="742" s="8" customFormat="1" ht="15.75" customHeight="1" x14ac:dyDescent="0.25"/>
    <row r="743" s="8" customFormat="1" ht="15.75" customHeight="1" x14ac:dyDescent="0.25"/>
    <row r="744" s="8" customFormat="1" ht="15.75" customHeight="1" x14ac:dyDescent="0.25"/>
    <row r="745" s="8" customFormat="1" ht="15.75" customHeight="1" x14ac:dyDescent="0.25"/>
    <row r="746" s="8" customFormat="1" ht="15.75" customHeight="1" x14ac:dyDescent="0.25"/>
    <row r="747" s="8" customFormat="1" ht="15.75" customHeight="1" x14ac:dyDescent="0.25"/>
    <row r="748" s="8" customFormat="1" ht="15.75" customHeight="1" x14ac:dyDescent="0.25"/>
    <row r="749" s="8" customFormat="1" ht="15.75" customHeight="1" x14ac:dyDescent="0.25"/>
    <row r="750" s="8" customFormat="1" ht="15.75" customHeight="1" x14ac:dyDescent="0.25"/>
    <row r="751" s="8" customFormat="1" ht="15.75" customHeight="1" x14ac:dyDescent="0.25"/>
    <row r="752" s="8" customFormat="1" ht="15.75" customHeight="1" x14ac:dyDescent="0.25"/>
    <row r="753" s="8" customFormat="1" ht="15.75" customHeight="1" x14ac:dyDescent="0.25"/>
    <row r="754" s="8" customFormat="1" ht="15.75" customHeight="1" x14ac:dyDescent="0.25"/>
    <row r="755" s="8" customFormat="1" ht="15.75" customHeight="1" x14ac:dyDescent="0.25"/>
    <row r="756" s="8" customFormat="1" ht="15.75" customHeight="1" x14ac:dyDescent="0.25"/>
    <row r="757" s="8" customFormat="1" ht="15.75" customHeight="1" x14ac:dyDescent="0.25"/>
    <row r="758" s="8" customFormat="1" ht="15.75" customHeight="1" x14ac:dyDescent="0.25"/>
    <row r="759" s="8" customFormat="1" ht="15.75" customHeight="1" x14ac:dyDescent="0.25"/>
    <row r="760" s="8" customFormat="1" ht="15.75" customHeight="1" x14ac:dyDescent="0.25"/>
    <row r="761" s="8" customFormat="1" ht="15.75" customHeight="1" x14ac:dyDescent="0.25"/>
    <row r="762" s="8" customFormat="1" ht="15.75" customHeight="1" x14ac:dyDescent="0.25"/>
    <row r="763" s="8" customFormat="1" ht="15.75" customHeight="1" x14ac:dyDescent="0.25"/>
    <row r="764" s="8" customFormat="1" ht="15.75" customHeight="1" x14ac:dyDescent="0.25"/>
    <row r="765" s="8" customFormat="1" ht="15.75" customHeight="1" x14ac:dyDescent="0.25"/>
    <row r="766" s="8" customFormat="1" ht="15.75" customHeight="1" x14ac:dyDescent="0.25"/>
    <row r="767" s="8" customFormat="1" ht="15.75" customHeight="1" x14ac:dyDescent="0.25"/>
    <row r="768" s="8" customFormat="1" ht="15.75" customHeight="1" x14ac:dyDescent="0.25"/>
    <row r="769" s="8" customFormat="1" ht="15.75" customHeight="1" x14ac:dyDescent="0.25"/>
    <row r="770" s="8" customFormat="1" ht="15.75" customHeight="1" x14ac:dyDescent="0.25"/>
    <row r="771" s="8" customFormat="1" ht="15.75" customHeight="1" x14ac:dyDescent="0.25"/>
    <row r="772" s="8" customFormat="1" ht="15.75" customHeight="1" x14ac:dyDescent="0.25"/>
    <row r="773" s="8" customFormat="1" ht="15.75" customHeight="1" x14ac:dyDescent="0.25"/>
    <row r="774" s="8" customFormat="1" ht="15.75" customHeight="1" x14ac:dyDescent="0.25"/>
    <row r="775" s="8" customFormat="1" ht="15.75" customHeight="1" x14ac:dyDescent="0.25"/>
    <row r="776" s="8" customFormat="1" ht="15.75" customHeight="1" x14ac:dyDescent="0.25"/>
    <row r="777" s="8" customFormat="1" ht="15.75" customHeight="1" x14ac:dyDescent="0.25"/>
    <row r="778" s="8" customFormat="1" ht="15.75" customHeight="1" x14ac:dyDescent="0.25"/>
    <row r="779" s="8" customFormat="1" ht="15.75" customHeight="1" x14ac:dyDescent="0.25"/>
    <row r="780" s="8" customFormat="1" ht="15.75" customHeight="1" x14ac:dyDescent="0.25"/>
    <row r="781" s="8" customFormat="1" ht="15.75" customHeight="1" x14ac:dyDescent="0.25"/>
    <row r="782" s="8" customFormat="1" ht="15.75" customHeight="1" x14ac:dyDescent="0.25"/>
    <row r="783" s="8" customFormat="1" ht="15.75" customHeight="1" x14ac:dyDescent="0.25"/>
    <row r="784" s="8" customFormat="1" ht="15.75" customHeight="1" x14ac:dyDescent="0.25"/>
    <row r="785" s="8" customFormat="1" ht="15.75" customHeight="1" x14ac:dyDescent="0.25"/>
    <row r="786" s="8" customFormat="1" ht="15.75" customHeight="1" x14ac:dyDescent="0.25"/>
    <row r="787" s="8" customFormat="1" ht="15.75" customHeight="1" x14ac:dyDescent="0.25"/>
    <row r="788" s="8" customFormat="1" ht="15.75" customHeight="1" x14ac:dyDescent="0.25"/>
    <row r="789" s="8" customFormat="1" ht="15.75" customHeight="1" x14ac:dyDescent="0.25"/>
    <row r="790" s="8" customFormat="1" ht="15.75" customHeight="1" x14ac:dyDescent="0.25"/>
    <row r="791" s="8" customFormat="1" ht="15.75" customHeight="1" x14ac:dyDescent="0.25"/>
    <row r="792" s="8" customFormat="1" ht="15.75" customHeight="1" x14ac:dyDescent="0.25"/>
    <row r="793" s="8" customFormat="1" ht="15.75" customHeight="1" x14ac:dyDescent="0.25"/>
    <row r="794" s="8" customFormat="1" ht="15.75" customHeight="1" x14ac:dyDescent="0.25"/>
    <row r="795" s="8" customFormat="1" ht="15.75" customHeight="1" x14ac:dyDescent="0.25"/>
    <row r="796" s="8" customFormat="1" ht="15.75" customHeight="1" x14ac:dyDescent="0.25"/>
    <row r="797" s="8" customFormat="1" ht="15.75" customHeight="1" x14ac:dyDescent="0.25"/>
    <row r="798" s="8" customFormat="1" ht="15.75" customHeight="1" x14ac:dyDescent="0.25"/>
    <row r="799" s="8" customFormat="1" ht="15.75" customHeight="1" x14ac:dyDescent="0.25"/>
    <row r="800" s="8" customFormat="1" ht="15.75" customHeight="1" x14ac:dyDescent="0.25"/>
    <row r="801" s="8" customFormat="1" ht="15.75" customHeight="1" x14ac:dyDescent="0.25"/>
    <row r="802" s="8" customFormat="1" ht="15.75" customHeight="1" x14ac:dyDescent="0.25"/>
    <row r="803" s="8" customFormat="1" ht="15.75" customHeight="1" x14ac:dyDescent="0.25"/>
    <row r="804" s="8" customFormat="1" ht="15.75" customHeight="1" x14ac:dyDescent="0.25"/>
    <row r="805" s="8" customFormat="1" ht="15.75" customHeight="1" x14ac:dyDescent="0.25"/>
    <row r="806" s="8" customFormat="1" ht="15.75" customHeight="1" x14ac:dyDescent="0.25"/>
    <row r="807" s="8" customFormat="1" ht="15.75" customHeight="1" x14ac:dyDescent="0.25"/>
    <row r="808" s="8" customFormat="1" ht="15.75" customHeight="1" x14ac:dyDescent="0.25"/>
    <row r="809" s="8" customFormat="1" ht="15.75" customHeight="1" x14ac:dyDescent="0.25"/>
    <row r="810" s="8" customFormat="1" ht="15.75" customHeight="1" x14ac:dyDescent="0.25"/>
    <row r="811" s="8" customFormat="1" ht="15.75" customHeight="1" x14ac:dyDescent="0.25"/>
    <row r="812" s="8" customFormat="1" ht="15.75" customHeight="1" x14ac:dyDescent="0.25"/>
    <row r="813" s="8" customFormat="1" ht="15.75" customHeight="1" x14ac:dyDescent="0.25"/>
    <row r="814" s="8" customFormat="1" ht="15.75" customHeight="1" x14ac:dyDescent="0.25"/>
    <row r="815" s="8" customFormat="1" ht="15.75" customHeight="1" x14ac:dyDescent="0.25"/>
    <row r="816" s="8" customFormat="1" ht="15.75" customHeight="1" x14ac:dyDescent="0.25"/>
    <row r="817" s="8" customFormat="1" ht="15.75" customHeight="1" x14ac:dyDescent="0.25"/>
    <row r="818" s="8" customFormat="1" ht="15.75" customHeight="1" x14ac:dyDescent="0.25"/>
    <row r="819" s="8" customFormat="1" ht="15.75" customHeight="1" x14ac:dyDescent="0.25"/>
    <row r="820" s="8" customFormat="1" ht="15.75" customHeight="1" x14ac:dyDescent="0.25"/>
    <row r="821" s="8" customFormat="1" ht="15.75" customHeight="1" x14ac:dyDescent="0.25"/>
    <row r="822" s="8" customFormat="1" ht="15.75" customHeight="1" x14ac:dyDescent="0.25"/>
    <row r="823" s="8" customFormat="1" ht="15.75" customHeight="1" x14ac:dyDescent="0.25"/>
    <row r="824" s="8" customFormat="1" ht="15.75" customHeight="1" x14ac:dyDescent="0.25"/>
    <row r="825" s="8" customFormat="1" ht="15.75" customHeight="1" x14ac:dyDescent="0.25"/>
    <row r="826" s="8" customFormat="1" ht="15.75" customHeight="1" x14ac:dyDescent="0.25"/>
    <row r="827" s="8" customFormat="1" ht="15.75" customHeight="1" x14ac:dyDescent="0.25"/>
    <row r="828" s="8" customFormat="1" ht="15.75" customHeight="1" x14ac:dyDescent="0.25"/>
    <row r="829" s="8" customFormat="1" ht="15.75" customHeight="1" x14ac:dyDescent="0.25"/>
    <row r="830" s="8" customFormat="1" ht="15.75" customHeight="1" x14ac:dyDescent="0.25"/>
    <row r="831" s="8" customFormat="1" ht="15.75" customHeight="1" x14ac:dyDescent="0.25"/>
    <row r="832" s="8" customFormat="1" ht="15.75" customHeight="1" x14ac:dyDescent="0.25"/>
    <row r="833" s="8" customFormat="1" ht="15.75" customHeight="1" x14ac:dyDescent="0.25"/>
    <row r="834" s="8" customFormat="1" ht="15.75" customHeight="1" x14ac:dyDescent="0.25"/>
    <row r="835" s="8" customFormat="1" ht="15.75" customHeight="1" x14ac:dyDescent="0.25"/>
    <row r="836" s="8" customFormat="1" ht="15.75" customHeight="1" x14ac:dyDescent="0.25"/>
    <row r="837" s="8" customFormat="1" ht="15.75" customHeight="1" x14ac:dyDescent="0.25"/>
    <row r="838" s="8" customFormat="1" ht="15.75" customHeight="1" x14ac:dyDescent="0.25"/>
    <row r="839" s="8" customFormat="1" ht="15.75" customHeight="1" x14ac:dyDescent="0.25"/>
    <row r="840" s="8" customFormat="1" ht="15.75" customHeight="1" x14ac:dyDescent="0.25"/>
    <row r="841" s="8" customFormat="1" ht="15.75" customHeight="1" x14ac:dyDescent="0.25"/>
    <row r="842" s="8" customFormat="1" ht="15.75" customHeight="1" x14ac:dyDescent="0.25"/>
    <row r="843" s="8" customFormat="1" ht="15.75" customHeight="1" x14ac:dyDescent="0.25"/>
    <row r="844" s="8" customFormat="1" ht="15.75" customHeight="1" x14ac:dyDescent="0.25"/>
    <row r="845" s="8" customFormat="1" ht="15.75" customHeight="1" x14ac:dyDescent="0.25"/>
    <row r="846" s="8" customFormat="1" ht="15.75" customHeight="1" x14ac:dyDescent="0.25"/>
    <row r="847" s="8" customFormat="1" ht="15.75" customHeight="1" x14ac:dyDescent="0.25"/>
    <row r="848" s="8" customFormat="1" ht="15.75" customHeight="1" x14ac:dyDescent="0.25"/>
    <row r="849" s="8" customFormat="1" ht="15.75" customHeight="1" x14ac:dyDescent="0.25"/>
    <row r="850" s="8" customFormat="1" ht="15.75" customHeight="1" x14ac:dyDescent="0.25"/>
    <row r="851" s="8" customFormat="1" ht="15.75" customHeight="1" x14ac:dyDescent="0.25"/>
    <row r="852" s="8" customFormat="1" ht="15.75" customHeight="1" x14ac:dyDescent="0.25"/>
    <row r="853" s="8" customFormat="1" ht="15.75" customHeight="1" x14ac:dyDescent="0.25"/>
    <row r="854" s="8" customFormat="1" ht="15.75" customHeight="1" x14ac:dyDescent="0.25"/>
    <row r="855" s="8" customFormat="1" ht="15.75" customHeight="1" x14ac:dyDescent="0.25"/>
    <row r="856" s="8" customFormat="1" ht="15.75" customHeight="1" x14ac:dyDescent="0.25"/>
    <row r="857" s="8" customFormat="1" ht="15.75" customHeight="1" x14ac:dyDescent="0.25"/>
    <row r="858" s="8" customFormat="1" ht="15.75" customHeight="1" x14ac:dyDescent="0.25"/>
    <row r="859" s="8" customFormat="1" ht="15.75" customHeight="1" x14ac:dyDescent="0.25"/>
    <row r="860" s="8" customFormat="1" ht="15.75" customHeight="1" x14ac:dyDescent="0.25"/>
    <row r="861" s="8" customFormat="1" ht="15.75" customHeight="1" x14ac:dyDescent="0.25"/>
    <row r="862" s="8" customFormat="1" ht="15.75" customHeight="1" x14ac:dyDescent="0.25"/>
    <row r="863" s="8" customFormat="1" ht="15.75" customHeight="1" x14ac:dyDescent="0.25"/>
    <row r="864" s="8" customFormat="1" ht="15.75" customHeight="1" x14ac:dyDescent="0.25"/>
    <row r="865" s="8" customFormat="1" ht="15.75" customHeight="1" x14ac:dyDescent="0.25"/>
    <row r="866" s="8" customFormat="1" ht="15.75" customHeight="1" x14ac:dyDescent="0.25"/>
    <row r="867" s="8" customFormat="1" ht="15.75" customHeight="1" x14ac:dyDescent="0.25"/>
    <row r="868" s="8" customFormat="1" ht="15.75" customHeight="1" x14ac:dyDescent="0.25"/>
    <row r="869" s="8" customFormat="1" ht="15.75" customHeight="1" x14ac:dyDescent="0.25"/>
    <row r="870" s="8" customFormat="1" ht="15.75" customHeight="1" x14ac:dyDescent="0.25"/>
    <row r="871" s="8" customFormat="1" ht="15.75" customHeight="1" x14ac:dyDescent="0.25"/>
    <row r="872" s="8" customFormat="1" ht="15.75" customHeight="1" x14ac:dyDescent="0.25"/>
    <row r="873" s="8" customFormat="1" ht="15.75" customHeight="1" x14ac:dyDescent="0.25"/>
    <row r="874" s="8" customFormat="1" ht="15.75" customHeight="1" x14ac:dyDescent="0.25"/>
    <row r="875" s="8" customFormat="1" ht="15.75" customHeight="1" x14ac:dyDescent="0.25"/>
    <row r="876" s="8" customFormat="1" ht="15.75" customHeight="1" x14ac:dyDescent="0.25"/>
    <row r="877" s="8" customFormat="1" ht="15.75" customHeight="1" x14ac:dyDescent="0.25"/>
    <row r="878" s="8" customFormat="1" ht="15.75" customHeight="1" x14ac:dyDescent="0.25"/>
    <row r="879" s="8" customFormat="1" ht="15.75" customHeight="1" x14ac:dyDescent="0.25"/>
    <row r="880" s="8" customFormat="1" ht="15.75" customHeight="1" x14ac:dyDescent="0.25"/>
    <row r="881" s="8" customFormat="1" ht="15.75" customHeight="1" x14ac:dyDescent="0.25"/>
    <row r="882" s="8" customFormat="1" ht="15.75" customHeight="1" x14ac:dyDescent="0.25"/>
    <row r="883" s="8" customFormat="1" ht="15.75" customHeight="1" x14ac:dyDescent="0.25"/>
    <row r="884" s="8" customFormat="1" ht="15.75" customHeight="1" x14ac:dyDescent="0.25"/>
    <row r="885" s="8" customFormat="1" ht="15.75" customHeight="1" x14ac:dyDescent="0.25"/>
    <row r="886" s="8" customFormat="1" ht="15.75" customHeight="1" x14ac:dyDescent="0.25"/>
  </sheetData>
  <mergeCells count="2">
    <mergeCell ref="C2:G2"/>
    <mergeCell ref="J19:K19"/>
  </mergeCell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Analisis de Ingresos</vt:lpstr>
      <vt:lpstr>Carta Gantt</vt:lpstr>
      <vt:lpstr>EDT 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Javier Gomez</dc:creator>
  <dc:description/>
  <cp:lastModifiedBy>IGNACIO JAVIER FUENZALIDA CHANDIA</cp:lastModifiedBy>
  <cp:revision>0</cp:revision>
  <dcterms:created xsi:type="dcterms:W3CDTF">2021-09-22T21:23:34Z</dcterms:created>
  <dcterms:modified xsi:type="dcterms:W3CDTF">2026-10-04T19:08:17Z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0x01010043C24914F0E2AA4998CCA4B0DB0FC5AE</vt:lpwstr>
  </property>
</Properties>
</file>
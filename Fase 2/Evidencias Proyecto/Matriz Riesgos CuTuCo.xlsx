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gnac\Downloads\"/>
    </mc:Choice>
  </mc:AlternateContent>
  <xr:revisionPtr revIDLastSave="0" documentId="13_ncr:1_{BC1B1E8D-DB43-49EF-A389-3D795D09C866}" xr6:coauthVersionLast="47" xr6:coauthVersionMax="47" xr10:uidLastSave="{00000000-0000-0000-0000-000000000000}"/>
  <bookViews>
    <workbookView xWindow="-120" yWindow="-120" windowWidth="29040" windowHeight="16440" tabRatio="500" xr2:uid="{00000000-000D-0000-FFFF-FFFF00000000}"/>
  </bookViews>
  <sheets>
    <sheet name="Matriz de Riesgos" sheetId="1" r:id="rId1"/>
    <sheet name="Gráfico Matriz" sheetId="2" r:id="rId2"/>
    <sheet name="Instruccione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4" i="2" l="1"/>
  <c r="B33" i="2"/>
  <c r="B32" i="2"/>
  <c r="B31" i="2"/>
  <c r="B30" i="2"/>
  <c r="B29" i="2"/>
  <c r="B28" i="2"/>
  <c r="B27" i="2"/>
  <c r="B26" i="2"/>
  <c r="C25" i="2"/>
  <c r="B25" i="2"/>
  <c r="C24" i="2"/>
  <c r="B24" i="2"/>
  <c r="C23" i="2"/>
  <c r="B23" i="2"/>
  <c r="C22" i="2"/>
  <c r="B22" i="2"/>
  <c r="C21" i="2"/>
  <c r="B21" i="2"/>
  <c r="C20" i="2"/>
  <c r="B20" i="2"/>
  <c r="G9" i="2"/>
  <c r="F9" i="2"/>
  <c r="E9" i="2"/>
  <c r="D9" i="2"/>
  <c r="C9" i="2"/>
  <c r="G8" i="2"/>
  <c r="F8" i="2"/>
  <c r="E8" i="2"/>
  <c r="D8" i="2"/>
  <c r="C8" i="2"/>
  <c r="G7" i="2"/>
  <c r="F7" i="2"/>
  <c r="E7" i="2"/>
  <c r="D7" i="2"/>
  <c r="C7" i="2"/>
  <c r="G6" i="2"/>
  <c r="F6" i="2"/>
  <c r="E6" i="2"/>
  <c r="D6" i="2"/>
  <c r="C6" i="2"/>
  <c r="G5" i="2"/>
  <c r="F5" i="2"/>
  <c r="E5" i="2"/>
  <c r="D5" i="2"/>
  <c r="C5" i="2"/>
  <c r="E24" i="1"/>
  <c r="H20" i="1"/>
  <c r="H19" i="1"/>
  <c r="H18" i="1"/>
  <c r="H17" i="1"/>
  <c r="H16" i="1"/>
  <c r="H15" i="1"/>
  <c r="H14" i="1"/>
  <c r="H13" i="1"/>
  <c r="H12" i="1"/>
  <c r="H11" i="1"/>
  <c r="I11" i="1" s="1"/>
  <c r="H10" i="1"/>
  <c r="I10" i="1" s="1"/>
  <c r="H9" i="1"/>
  <c r="I9" i="1" s="1"/>
  <c r="H8" i="1"/>
  <c r="I8" i="1" s="1"/>
  <c r="H7" i="1"/>
  <c r="I7" i="1" s="1"/>
  <c r="H6" i="1"/>
  <c r="I6" i="1" s="1"/>
  <c r="C34" i="2" l="1"/>
  <c r="I20" i="1"/>
  <c r="C33" i="2"/>
  <c r="I19" i="1"/>
  <c r="C32" i="2"/>
  <c r="I18" i="1"/>
  <c r="C31" i="2"/>
  <c r="I17" i="1"/>
  <c r="I16" i="1"/>
  <c r="C30" i="2"/>
  <c r="I15" i="1"/>
  <c r="C29" i="2"/>
  <c r="C28" i="2"/>
  <c r="I14" i="1"/>
  <c r="I13" i="1"/>
  <c r="C27" i="2"/>
  <c r="C26" i="2"/>
  <c r="I12" i="1"/>
  <c r="C15" i="3"/>
  <c r="M24" i="1"/>
  <c r="D15" i="2"/>
  <c r="D16" i="2"/>
  <c r="D13" i="2"/>
  <c r="D14" i="2"/>
  <c r="C14" i="3"/>
  <c r="C16" i="3"/>
  <c r="C13" i="3"/>
</calcChain>
</file>

<file path=xl/sharedStrings.xml><?xml version="1.0" encoding="utf-8"?>
<sst xmlns="http://schemas.openxmlformats.org/spreadsheetml/2006/main" count="272" uniqueCount="202">
  <si>
    <t>Matriz de Riesgos del Proyecto CuTuCo</t>
  </si>
  <si>
    <t>Nosotros identificamos, analizamos y controlamos los riesgos que podrían afectar a CuTuCo (Cultiva Tu Compra), un Marketplace SaaS B2B2C de comercio de proximidad para la Agricultura Familiar Campesina y pequeños productores locales de Chile. El proyecto lo realizamos entre dos personas en Duoc UC Plaza Norte (Ingeniería en Informática): Vicente Rivera (líder backend y Jefe de Proyecto, RUT 21.768.183-9) e Ignacio Fuenzalida (IT frontend, RUT 21.401.354-1). Trabajamos con un enfoque tradicional en 4 fases (planificación inicial, análisis y diseño, construcción, implementación y cierre) durante 13 semanas: inicio el 11 de septiembre de 2026 (semana 1), desarrollo hasta la semana 11 y preparación y entrega final en las semanas 12 y 13. Esta versión ya incorpora la actualización de alcance (tabla "Queda / No queda" de los 26 requerimientos): quedan 21, con varios recortados, y se descartan 5.</t>
  </si>
  <si>
    <t>Criterio de valoración de nosotros: Probabilidad e Impacto se puntúan de 1 a 5. El nivel se obtiene mediante Probabilidad × Impacto y nos permite priorizar las respuestas. Los puntajes son una valoración nuestra para planificar el trabajo, no una estadística externa; el detalle de cada puntaje está en la hoja "Instrucciones".</t>
  </si>
  <si>
    <t>ID</t>
  </si>
  <si>
    <t>Fase</t>
  </si>
  <si>
    <t>Riesgo identificado por nosotros</t>
  </si>
  <si>
    <t>Causa principal</t>
  </si>
  <si>
    <t>Consecuencia posible</t>
  </si>
  <si>
    <t>Prob. (1-5)</t>
  </si>
  <si>
    <t>Impacto (1-5)</t>
  </si>
  <si>
    <t>Nivel</t>
  </si>
  <si>
    <t>Prioridad</t>
  </si>
  <si>
    <t>Respuesta</t>
  </si>
  <si>
    <t>Acciones preventivas / controles</t>
  </si>
  <si>
    <t>Plan de contingencia</t>
  </si>
  <si>
    <t>Responsable principal</t>
  </si>
  <si>
    <t>Semana de control</t>
  </si>
  <si>
    <t>Estado</t>
  </si>
  <si>
    <t>Dependencias relacionadas</t>
  </si>
  <si>
    <t>Observación / criterio del equipo</t>
  </si>
  <si>
    <t>Planificación / Construcción</t>
  </si>
  <si>
    <t>Nosotros podríamos volver a ampliar el alcance con funcionalidades que ya recortamos o que no están validadas para el MVP.</t>
  </si>
  <si>
    <t>Con la actualización descartamos 5 de los 26 requerimientos (RF-008 historial de precios, RF-010 stock bajo, RF-013 múltiples administradores, RF-015 retención del carnet y RF-016 rate limiting) y recortamos varios más. Aun así el proyecto tiene muchas funciones y somos solo dos personas.</t>
  </si>
  <si>
    <t>Si reincorporamos funciones recortadas, gastaríamos semanas de desarrollo que necesitamos para pruebas, documentación y cierre.</t>
  </si>
  <si>
    <t>Mitigar</t>
  </si>
  <si>
    <t>Nosotros usaremos la tabla "Queda / No queda" de la actualización como alcance oficial y como base de la Verificación de Alcances. Revisaremos el alcance cada semana, registraremos cada solicitud como cambio en la minuta de control y evaluaremos tiempo, riesgo, dependencias y valor antes de aceptarla.</t>
  </si>
  <si>
    <t>Nosotros congelaremos las funciones nuevas hasta cerrar los flujos críticos (login, compra, pago y entrega) y dejaremos lo solicitado anotado como mejora posterior, fuera del MVP académico.</t>
  </si>
  <si>
    <t>Vicente Rivera</t>
  </si>
  <si>
    <t>Semanas 1-13</t>
  </si>
  <si>
    <t>Abierto</t>
  </si>
  <si>
    <t>Carta Gantt; Acta de Constitución; EDT; Minuta de Control; Verificación de Alcances</t>
  </si>
  <si>
    <t>Por el tamaño del equipo es el riesgo que más vigilamos. Los recortes solo sirven si los respetamos hasta el cierre.</t>
  </si>
  <si>
    <t>Análisis y Diseño / Construcción</t>
  </si>
  <si>
    <t>Nosotros podríamos tener problemas al migrar la persistencia de SQLite a PostgreSQL en Supabase y al adaptar el modelo de datos al nuevo alcance.</t>
  </si>
  <si>
    <t>El MVP usa SQLite local. El modelo nuevo agrega tablas (por ejemplo payouts) y deja de necesitar otras (historial de precios, alertas de stock y evidencias fotográficas). Todavía definimos si basta con ALTER TABLE o si conviene rediseñar el esquema completo.</t>
  </si>
  <si>
    <t>Podríamos perder datos, dejar relaciones o restricciones inconsistentes y retrasar los módulos que dependen de la base de datos.</t>
  </si>
  <si>
    <t>Nosotros modelaremos el ER en pgModeler, validaremos el esquema con DBeaver y decidiremos entre ALTER TABLE y rediseño completo antes de migrar. Versionaremos los scripts DDL, probaremos las restricciones UNIQUE y la integridad referencial, y migraremos por etapas verificando cada tabla.</t>
  </si>
  <si>
    <t>Nosotros mantendremos respaldos y la versión estable del modelo anterior. Si la migración falla, repetiremos la carga desde una estructura controlada con datos de prueba.</t>
  </si>
  <si>
    <t>Semanas 3-7</t>
  </si>
  <si>
    <t>pgModeler; DBeaver; Supabase PostgreSQL; Scripts DDL; ERS</t>
  </si>
  <si>
    <t>Es uno de los riesgos técnicos principales. Evaluamos antes el impacto de los recortes para no modelar tablas que ya no se usan.</t>
  </si>
  <si>
    <t>Construcción / Implementación</t>
  </si>
  <si>
    <t>Nosotros podríamos cometer errores al integrar Transbank Webpay Plus en modo de prueba.</t>
  </si>
  <si>
    <t>Usamos Webpay Plus normal (no Webpay Diferido, que solo permite crédito, ni Webpay Mall). El flujo depende de create, redirección, token_ws y commit, y el retorno llega por GET, sin webhooks.</t>
  </si>
  <si>
    <t>El checkout podría quedar incompleto, duplicar órdenes o registrar estados de pago incorrectos.</t>
  </si>
  <si>
    <t>Nosotros probaremos por etapas el flujo create → redirección → token_ws → commit. Mantendremos buy_order y token_ws como valores UNIQUE en la tabla payments para lograr idempotencia, y guardaremos las credenciales de prueba en variables de entorno o Secret Manager, nunca en el repositorio.</t>
  </si>
  <si>
    <t>Nosotros usaremos mocks/stubs si Transbank bloquea las pruebas, dejaremos el pago en un estado controlado mientras corregimos y reintentaremos el commit manualmente. Cloud Tasks para reintentos queda proyectado solo para la Opción B.</t>
  </si>
  <si>
    <t>Semanas 7-10</t>
  </si>
  <si>
    <t>Transbank Webpay Plus; Secret Manager / variables de entorno; Supabase; Tabla payments</t>
  </si>
  <si>
    <t>La idempotencia es el control central. Si el pago falla, falla todo el flujo de compra.</t>
  </si>
  <si>
    <t>Nosotros podríamos calcular mal la comisión, los payouts o los reembolsos, o exponer los datos bancarios de los productores.</t>
  </si>
  <si>
    <t>Cambiamos el flujo de dinero: CuTuCo retiene el 100% de la venta y, después de entregar el pedido, simula un payout manual al productor. Esto exige una tabla payouts y pedir banco, número y tipo de cuenta, que debemos cifrar. La liquidación descuenta un fee base de 5% y la tarifa fija de delivery de 3.500 CLP.</t>
  </si>
  <si>
    <t>Podríamos liquidar montos incorrectos, no poder devolver dinero al cliente o filtrar datos financieros sensibles.</t>
  </si>
  <si>
    <t>Nosotros definiremos la fórmula de liquidación (venta menos fee de 5% menos tarifa fija de 3.500 CLP) con pruebas unitarias y guardaremos el detalle de cada cálculo. Cifraremos los datos bancarios, los protegeremos con RLS y policies de Supabase y limitaremos su lectura al Administrador.</t>
  </si>
  <si>
    <t>Nosotros bloquearemos el payout afectado, recalcularemos el monto y registraremos el ajuste. Si hubo exposición de datos, cambiaremos las claves de cifrado y revisaremos los accesos.</t>
  </si>
  <si>
    <t>Tabla payouts; Webpay Plus; Supabase (RLS); Dashboard Administrativo; RF-014</t>
  </si>
  <si>
    <t>Sobre la legalidad, revisamos la Ley Fintech y por ahora la descartamos porque apunta a activos financieros y criptoactivos. Si cambia la forma de retener el dinero, la volveremos a revisar. El payout es una simulación manual en el MVP.</t>
  </si>
  <si>
    <t>Construcción</t>
  </si>
  <si>
    <t>Nosotros podríamos generar inconsistencias de stock por concurrencia al comprar.</t>
  </si>
  <si>
    <t>Varios clientes podrían comprar el mismo producto a la vez mientras el productor modifica el stock. Cada productor tiene su propio catálogo y el stock cambia por temporada.</t>
  </si>
  <si>
    <t>Podríamos aceptar compras sobre stock inexistente o mostrar cantidades erróneas en el catálogo.</t>
  </si>
  <si>
    <t>Nosotros validaremos el stock dentro de una transacción de base de datos (SELECT FOR UPDATE) antes de crear el pago y probaremos compras simultáneas del mismo producto. El umbral de stock bajo quedó fuera del alcance, así que no dependemos de alertas.</t>
  </si>
  <si>
    <t>Nosotros rechazaremos la operación cuando el stock no alcance, mostraremos el stock actualizado al cliente y corregiremos a mano las órdenes afectadas.</t>
  </si>
  <si>
    <t>Semanas 6-9</t>
  </si>
  <si>
    <t>PostgreSQL; Orders; Order Items; API REST</t>
  </si>
  <si>
    <t>Sin alertas automáticas, el productor revisa su stock a mano. Lo dejamos anotado como limitación del MVP.</t>
  </si>
  <si>
    <t>Nosotros podríamos tener errores de autenticación, permisos o políticas de acceso (RLS) con Supabase.</t>
  </si>
  <si>
    <t>Login y refresh van directo con Supabase GoTrue, el bloqueo de cuenta tras 5 intentos fallidos lo hace FastAPI y varias consultas simples van directo a PostgREST. Hay tres perfiles (Cliente, Vendedor y Administrador) y debemos verificar de nuevo las RLS y policies que ya creamos.</t>
  </si>
  <si>
    <t>Un usuario podría ver o modificar datos de otro rol, o quedar bloqueado sin motivo válido.</t>
  </si>
  <si>
    <t>Nosotros probaremos cada RLS y policy con un usuario por rol. Dejaremos que GoTrue aplique su rate limiting nativo (respuesta 429) y que FastAPI solo actualice intentos_login_fallidos y bloqueado_hasta. Impediremos el auto-registro como Administrador y probaremos la expiración de JWT y del refresh.</t>
  </si>
  <si>
    <t>Nosotros revocaremos las sesiones afectadas, corregiremos las policies y repetiremos las pruebas de seguridad antes de cerrar el módulo.</t>
  </si>
  <si>
    <t>Semanas 4-8</t>
  </si>
  <si>
    <t>Supabase GoTrue; PostgREST; RLS y policies; FastAPI; Roles</t>
  </si>
  <si>
    <t>La autenticación atraviesa todos los módulos. Como el login ya no pasa por FastAPI, la seguridad depende más de la configuración de Supabase y la revisamos con más cuidado.</t>
  </si>
  <si>
    <t>Nosotros podríamos retrasarnos al construir backend, frontend e integración al mismo tiempo.</t>
  </si>
  <si>
    <t>Somos dos personas con especialidad por capa: Vicente en backend, pagos y base de datos, e Ignacio en Vue.js, paneles y dashboard.</t>
  </si>
  <si>
    <t>Podríamos acumular trabajo pendiente y quedarnos sin tiempo de integración y pruebas. Si uno de los dos se bloquea o se enferma, un bloque crítico queda sin respaldo.</t>
  </si>
  <si>
    <t>Nosotros separaremos las responsabilidades por especialidad según la matriz RACI, coordinaremos las integraciones en la revisión semanal y priorizaremos los flujos críticos. Nos revisaremos el trabajo entre ambos antes de cerrar cada bloque para que los dos conozcamos todo el sistema.</t>
  </si>
  <si>
    <t>Nosotros reduciremos el trabajo en paralelo, congelaremos las mejoras secundarias y concentraremos ambos esfuerzos en login, catálogo, checkout, pago y entrega.</t>
  </si>
  <si>
    <t>Vicente Rivera e Ignacio Fuenzalida</t>
  </si>
  <si>
    <t>Semanas 4-11</t>
  </si>
  <si>
    <t>Carta Gantt; RACI; Minuta de Control de Programación</t>
  </si>
  <si>
    <t>Planificamos de forma conservadora porque somos dos. El recorte de funciones ayuda a bajar esta carga.</t>
  </si>
  <si>
    <t>Nosotros podríamos generar inconsistencias entre el frontend de Vue.js, PostgREST y FastAPI, o cambiar la arquitectura demasiado tarde.</t>
  </si>
  <si>
    <t>Migramos desde una solución monolítica en Ionic/Angular hacia Vue.js con Vite. La actualización repartió el trabajo entre PostgREST (consultas simples), GoTrue (autenticación) y FastAPI (lógica de negocio como pagos), y aún evaluamos qué endpoints van por cada vía.</t>
  </si>
  <si>
    <t>Podrían aparecer errores de formato, estados o validaciones duplicadas, y tendríamos que rehacer código y documentos.</t>
  </si>
  <si>
    <t>Nosotros definiremos qué se consulta por PostgREST y qué por FastAPI y fijaremos los contratos de API. Validaremos principalmente en el front con Vuelidate y de forma mínima en el backend con Pydantic y las restricciones de la base de datos. Registraremos cada decisión en la minuta y actualizaremos los documentos afectados.</t>
  </si>
  <si>
    <t>Nosotros aislaremos el endpoint afectado, corregiremos el contrato y repetiremos las pruebas E2E de ese flujo. Elegiremos la alternativa compatible con el alcance validado y dejaremos la decisión escrita.</t>
  </si>
  <si>
    <t>Ignacio Fuenzalida</t>
  </si>
  <si>
    <t>Semanas 3-10</t>
  </si>
  <si>
    <t>Vue.js + Vite; PostgREST; FastAPI; Pydantic; Vuelidate; Minuta de Control</t>
  </si>
  <si>
    <t>Dejamos la validación principal en el front y una mínima en el backend para no duplicar lógica en un MVP pequeño. La base de datos queda como última barrera.</t>
  </si>
  <si>
    <t>Nosotros podríamos quedar bloqueados por fallas o límites de servicios externos.</t>
  </si>
  <si>
    <t>El proyecto depende de Supabase (PostgreSQL y Auth), Vercel, GCP Cloud Run, Transbank Webpay Plus Test y Resend para los correos (SMTP de Auth configurado en Supabase y API de Resend para las notificaciones de negocio).</t>
  </si>
  <si>
    <t>Podríamos detener tareas aunque nuestro código esté listo, o dejar de enviar correos de recuperación de contraseña y avisos de pago retenido.</t>
  </si>
  <si>
    <t>Nosotros mantendremos mocks/stubs para las pruebas, usaremos variables de entorno por ambiente y avanzaremos primero en las tareas que no dependan de un servicio externo.</t>
  </si>
  <si>
    <t>Nosotros seguiremos con pruebas locales, documentación y módulos desacoplados hasta que el servicio vuelva, y repetiremos las validaciones reales antes de dar por terminado el flujo afectado.</t>
  </si>
  <si>
    <t>Supabase; Vercel; GCP Cloud Run; Transbank; Resend</t>
  </si>
  <si>
    <t>El informe reconoce estas dependencias en la factibilidad. Los correos de Auth quedan en Supabase y los de negocio (pago retenido, aprobación de productor, payout y reembolso) salen por la API de Resend.</t>
  </si>
  <si>
    <t>Implementación / Cierre</t>
  </si>
  <si>
    <t>Nosotros podríamos quedarnos sin los créditos gratuitos de GCP antes de terminar las pruebas y la entrega.</t>
  </si>
  <si>
    <t>La Opción A usa Cloud Run en us-central1 con US$300 de créditos que duran hasta el 29 de noviembre, y la entrega final es en la semana 13 (10 de diciembre).</t>
  </si>
  <si>
    <t>El backend podría dejar de estar disponible durante las pruebas finales o la presentación, o generar un cobro que no previmos.</t>
  </si>
  <si>
    <t>Nosotros mantendremos la configuración mínima (512Mi, mínimo 0 y máximo 5 instancias), revisaremos el consumo en billing cada semana y evitaremos desplegar recursos que no necesitemos.</t>
  </si>
  <si>
    <t>Nosotros migraremos el backend a otra cuenta de GCP al terminar el desarrollo, como ya anotamos en la arquitectura, y dejaremos listos el Dockerfile y las variables de entorno para redesplegar rápido.</t>
  </si>
  <si>
    <t>Semanas 9-12</t>
  </si>
  <si>
    <t>GCP Cloud Run; Docker; GitHub Actions; Secret Manager</t>
  </si>
  <si>
    <t>Es una fecha conocida, por eso la probabilidad es alta. No usamos la Opción B (dos regiones) porque cuesta cerca de 40% más y no es parte del MVP.</t>
  </si>
  <si>
    <t>Nosotros podríamos aprobar productores sin una verificación suficiente o saturar al único Administrador con tareas manuales.</t>
  </si>
  <si>
    <t>Con la actualización ya no pedimos el carnet (RF-015 quedó fuera) y pasamos a una revisión manual: el Administrador hace un background check del productor, aprueba cuentas y pagos y gestiona sanciones (lista de palabras prohibidas con LIKE, conteo de amonestaciones y botón de baneo permanente). Por ahora hay un solo Administrador.</t>
  </si>
  <si>
    <t>Podríamos dejar pasar cuentas fraudulentas, aplicar sanciones con criterios distintos o demorar la aprobación de productores y payouts.</t>
  </si>
  <si>
    <t>Nosotros definiremos un checklist para aprobar productores (datos de la tienda, correo y verificación manual), registraremos cada aprobación, rechazo y sanción con fecha y motivo, y probaremos la lista de palabras prohibidas con casos de falsos positivos antes de usarla. Mantendremos visibles los pendientes del Administrador en el dashboard.</t>
  </si>
  <si>
    <t>Nosotros pausaremos las cuentas dudosas hasta completar la revisión, revertiremos a mano las sanciones aplicadas por error y atenderemos primero las aprobaciones y pagos pendientes.</t>
  </si>
  <si>
    <t>Semanas 7-11</t>
  </si>
  <si>
    <t>Panel de Administración; Dashboard; RF-004; RF-021; RF-026</t>
  </si>
  <si>
    <t>Quitamos la automatización (score para suspender, validación del carnet) para bajar la complejidad. A cambio, la revisión humana pasa a ser un control que tenemos que cuidar.</t>
  </si>
  <si>
    <t>Nosotros podríamos tener fallas en el código de verificación de entrega que reemplazó a las fotos.</t>
  </si>
  <si>
    <t>La actualización dejó fuera la evidencia fotográfica obligatoria y cambió la confirmación a un código de verificación al momento de la entrega. El seguimiento queda solo con los estados Preparación → En Tránsito → Entregado, sin GPS ni mapa en tiempo real.</t>
  </si>
  <si>
    <t>Podríamos tener pedidos que no se cierran, pagos retenidos sin liberar o disputas con menos respaldo, porque ya no hay fotos de la entrega.</t>
  </si>
  <si>
    <t>Nosotros generaremos un código único por pedido, lo validaremos en el backend antes de marcar el pedido como Entregado, limitaremos los intentos y probaremos los casos de código incorrecto, repetido o perdido. Registraremos cada cambio de estado con fecha y usuario.</t>
  </si>
  <si>
    <t>Nosotros dejaremos que el Administrador revise el pedido y resuelva el caso a mano (marcar como entregado, rechazar o reembolsar) apoyándose en el registro de estados.</t>
  </si>
  <si>
    <t>Semanas 6-10</t>
  </si>
  <si>
    <t>delivery_tracking; Orders; RF-007; RF-025; Vue.js</t>
  </si>
  <si>
    <t>Sin fotos perdemos respaldo visual ante una disputa. Lo aceptamos para reducir complejidad y lo dejamos documentado.</t>
  </si>
  <si>
    <t>Nosotros podríamos implementar mal la restricción de compra por región.</t>
  </si>
  <si>
    <t>La actualización simplificó la regla: solo restricción regional (sin comuna) y sin georreferenciación. Se valida comparando la región del cliente con la del productor (id_region).</t>
  </si>
  <si>
    <t>Podríamos bloquear compras válidas o permitir compras que el productor no puede atender.</t>
  </si>
  <si>
    <t>Nosotros validaremos en el backend la región del cliente contra la del productor antes de crear el pago, cargaremos las regiones desde una tabla controlada y probaremos casos de la misma región y de regiones distintas.</t>
  </si>
  <si>
    <t>Nosotros rechazaremos la compra fuera de la región con un mensaje claro y corregiremos a mano los datos de región si hubo un error de registro.</t>
  </si>
  <si>
    <t>Regiones; Perfil de usuario; Backend; Frontend; RF-009</t>
  </si>
  <si>
    <t>Quedan fuera la geolocalización de Google, la validación por comuna y el cálculo de rutas porque no son parte del MVP.</t>
  </si>
  <si>
    <t>Construcción / Cierre</t>
  </si>
  <si>
    <t>Nosotros podríamos llegar a las últimas semanas con errores críticos pendientes.</t>
  </si>
  <si>
    <t>La fase de desarrollo termina en la semana 11 (26 de noviembre) y las semanas 12 y 13 son para preparación y entrega. Además, los pagos y la entrega se integran recién entre las semanas 7 y 10.</t>
  </si>
  <si>
    <t>Podríamos entregar documentación sin una validación completa del producto o con el checkout inestable.</t>
  </si>
  <si>
    <t>Nosotros reservaremos las semanas 9 a 11 para integración y correcciones, y las semanas 12 y 13 para pruebas finales, reporte, manuales y cierre. Ejecutaremos pruebas unitarias, de integración y E2E, y repetiremos cada prueba que falle después de corregirla.</t>
  </si>
  <si>
    <t>Nosotros priorizaremos los defectos críticos sobre las mejoras visuales, usaremos mocks/stubs si una dependencia bloquea y cerraremos solo cuando los flujos principales (login, compra, pago y entrega) estén probados.</t>
  </si>
  <si>
    <t>Semanas 9-13</t>
  </si>
  <si>
    <t>Plan de Pruebas Inicial y Final; Carta Gantt; Verificación de Alcances; Manuales</t>
  </si>
  <si>
    <t>Está ligado directamente al plazo académico. Los recortes de alcance nos dan margen, pero no lo vamos a usar para agregar funciones.</t>
  </si>
  <si>
    <t>Nosotros podríamos dejar incompleta o desactualizada la documentación final.</t>
  </si>
  <si>
    <t>Entregamos muchos documentos en 4 fases (ERS, modelos de datos, arquitectura, mockups, plan de calidad y costos, plan de pruebas final, plan de implantación, soporte y mantenimiento, y manuales), y la actualización de alcance cambia varios que ya estaban escritos.</t>
  </si>
  <si>
    <t>Podríamos tener un producto funcionando pero una entrega académica incompleta, contradictoria o difícil de mantener.</t>
  </si>
  <si>
    <t>Nosotros actualizaremos la documentación al ritmo del desarrollo, corregiremos primero los documentos afectados por la actualización (ERS, plan de pruebas, EDT y modelo de datos) y reservaremos la semana 12 para los manuales y el plan de soporte.</t>
  </si>
  <si>
    <t>Nosotros haremos una lista de documentos pendientes, cerraremos primero los obligatorios y revisaremos que cada uno coincida con la versión realmente implementada.</t>
  </si>
  <si>
    <t>Semanas 10-13</t>
  </si>
  <si>
    <t>Manual de Usuario; Manual de Administrador; Plan de Implantación, Soporte y Mantenimiento; Reporte de Estatus Final</t>
  </si>
  <si>
    <t>La documentación es compartida, aunque Ignacio lidera la compilación de los manuales.</t>
  </si>
  <si>
    <t>Resumen de nosotros: priorizamos los riesgos con mayor combinación de probabilidad e impacto. Los más urgentes hoy son el control del alcance (1), el cierre con errores críticos pendientes (14), la migración de datos (2), la integración con Webpay (3), la seguridad de accesos con Supabase (6) y el retraso por ser solo dos personas (7). Revisaremos la matriz semanalmente y registraremos cambios, nuevos riesgos o cierres en la minuta de control del proyecto. Cuando una actualización de alcance cambie un riesgo, ajustaremos probabilidad e impacto y lo dejaremos anotado.</t>
  </si>
  <si>
    <t>Cantidad de riesgos</t>
  </si>
  <si>
    <t>Riesgos críticos / altos</t>
  </si>
  <si>
    <t>Gráfico de la Matriz de Riesgos CuTuCo (Probabilidad × Impacto)</t>
  </si>
  <si>
    <t>Nosotros ubicamos cada riesgo (por su ID) según la Probabilidad y el Impacto que valoramos en la hoja "Matriz de Riesgos". El gráfico se actualiza solo si cambiamos esos puntajes.</t>
  </si>
  <si>
    <t>1 Muy bajo</t>
  </si>
  <si>
    <t>2 Bajo</t>
  </si>
  <si>
    <t>3 Medio</t>
  </si>
  <si>
    <t>4 Alto</t>
  </si>
  <si>
    <t>5 Muy alto</t>
  </si>
  <si>
    <t>PROBABILIDAD</t>
  </si>
  <si>
    <t>5 Muy alta</t>
  </si>
  <si>
    <t>4 Alta</t>
  </si>
  <si>
    <t>3 Media</t>
  </si>
  <si>
    <t>2 Baja</t>
  </si>
  <si>
    <t>1 Muy baja</t>
  </si>
  <si>
    <t>IMPACTO</t>
  </si>
  <si>
    <t>Rango</t>
  </si>
  <si>
    <t>Riesgos hoy</t>
  </si>
  <si>
    <t>Crítico</t>
  </si>
  <si>
    <t>15-25</t>
  </si>
  <si>
    <t>Alto</t>
  </si>
  <si>
    <t>10-14</t>
  </si>
  <si>
    <t>Medio</t>
  </si>
  <si>
    <t>5-9</t>
  </si>
  <si>
    <t>Bajo</t>
  </si>
  <si>
    <t>1-4</t>
  </si>
  <si>
    <t>Nivel (P × I)</t>
  </si>
  <si>
    <t>Instrucciones y criterios de la Matriz de Riesgos</t>
  </si>
  <si>
    <t>Nosotros usamos esta hoja para mantener un criterio común al evaluar riesgos. Los valores de probabilidad e impacto son una valoración del equipo (Vicente Rivera e Ignacio Fuenzalida) para planificar el trabajo; no representan una estadística externa. Al lado de cada puntaje indicamos qué riesgos de la matriz lo usan hoy.</t>
  </si>
  <si>
    <t>Puntaje</t>
  </si>
  <si>
    <t>Probabilidad</t>
  </si>
  <si>
    <t>Cómo lo interpretamos nosotros</t>
  </si>
  <si>
    <t>Impacto</t>
  </si>
  <si>
    <t>Muy baja</t>
  </si>
  <si>
    <t>Creemos que es poco probable que ocurra durante el proyecto. Hoy ningún riesgo de la matriz tiene este puntaje.</t>
  </si>
  <si>
    <t>Muy bajo</t>
  </si>
  <si>
    <t>El efecto sobre plazo, calidad o alcance sería pequeño. Hoy ningún riesgo de la matriz tiene este puntaje.</t>
  </si>
  <si>
    <t>Baja</t>
  </si>
  <si>
    <t>Podría ocurrir, pero no esperamos que sea frecuente. En la matriz: riesgo 13.</t>
  </si>
  <si>
    <t>Generaría retrabajo acotado y se podría corregir sin afectar hitos. Hoy ningún riesgo de la matriz tiene este puntaje.</t>
  </si>
  <si>
    <t>Media</t>
  </si>
  <si>
    <t>Existe una posibilidad razonable durante el desarrollo. En la matriz: riesgos 2, 3, 4, 5, 6, 8, 9, 11, 12 y 15.</t>
  </si>
  <si>
    <t>Podría afectar una actividad o parte de una fase. En la matriz: riesgos 5, 8, 10 y 12.</t>
  </si>
  <si>
    <t>Alta</t>
  </si>
  <si>
    <t>Es probable que ocurra y debemos controlarlo activamente. En la matriz: riesgos 1, 7, 10 y 14.</t>
  </si>
  <si>
    <t>Podría afectar un hito, integración o parte importante del alcance. En la matriz: riesgos 4, 7, 9, 11, 13 y 15.</t>
  </si>
  <si>
    <t>Muy alta</t>
  </si>
  <si>
    <t>Es muy probable o ya existe una dependencia fuerte que lo favorece. Hoy ningún riesgo de la matriz tiene este puntaje.</t>
  </si>
  <si>
    <t>Muy alto</t>
  </si>
  <si>
    <t>Podría comprometer un flujo crítico, la calidad o el cierre del proyecto. En la matriz: riesgos 1, 2, 3, 6 y 14.</t>
  </si>
  <si>
    <t>Tratamiento que nosotros aplicamos</t>
  </si>
  <si>
    <t>Mitigar / Evitar / Transferir / Aceptar</t>
  </si>
  <si>
    <t>En CuTuCo predominan medidas de mitigación porque somos un equipo pequeño y dependemos de integraciones técnicas (Supabase, Webpay, Cloud Run). Hoy los 15 riesgos tienen respuesta 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</si>
</sst>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charset val="1"/>
    </font>
    <font>
      <b/>
      <sz val="11"/>
      <color rgb="FFFFFFFF"/>
      <name val="Calibri"/>
      <family val="2"/>
      <scheme val="minor"/>
    </font>
    <font>
      <sz val="11"/>
      <name val="Calibri"/>
      <family val="2"/>
      <scheme val="minor"/>
    </font>
    <font>
      <sz val="11"/>
      <color rgb="FF666666"/>
      <name val="Calibri"/>
      <family val="2"/>
      <scheme val="minor"/>
    </font>
    <font>
      <sz val="11"/>
      <color rgb="FF002E4E"/>
      <name val="Calibri"/>
      <family val="2"/>
      <scheme val="minor"/>
    </font>
    <font>
      <sz val="11"/>
      <color rgb="FF333333"/>
      <name val="Calibri"/>
      <family val="2"/>
      <scheme val="minor"/>
    </font>
    <font>
      <b/>
      <sz val="11"/>
      <color rgb="FF002E4E"/>
      <name val="Calibri"/>
      <family val="2"/>
      <scheme val="minor"/>
    </font>
    <font>
      <b/>
      <sz val="11"/>
      <color rgb="FF333333"/>
      <name val="Calibri"/>
      <family val="2"/>
      <scheme val="minor"/>
    </font>
    <font>
      <b/>
      <sz val="14"/>
      <color rgb="FF333333"/>
      <name val="Calibri"/>
      <family val="2"/>
      <scheme val="minor"/>
    </font>
  </fonts>
  <fills count="10">
    <fill>
      <patternFill patternType="none"/>
    </fill>
    <fill>
      <patternFill patternType="gray125"/>
    </fill>
    <fill>
      <patternFill patternType="solid">
        <fgColor rgb="FF002E4E"/>
        <bgColor rgb="FF003F6C"/>
      </patternFill>
    </fill>
    <fill>
      <patternFill patternType="solid">
        <fgColor rgb="FFEAF1F5"/>
        <bgColor rgb="FFF7FAFC"/>
      </patternFill>
    </fill>
    <fill>
      <patternFill patternType="solid">
        <fgColor rgb="FF003F6C"/>
        <bgColor rgb="FF002E4E"/>
      </patternFill>
    </fill>
    <fill>
      <patternFill patternType="solid">
        <fgColor rgb="FFF7FAFC"/>
        <bgColor rgb="FFFFFFFF"/>
      </patternFill>
    </fill>
    <fill>
      <patternFill patternType="solid">
        <fgColor rgb="FFFFF2CC"/>
        <bgColor rgb="FFFCE4D6"/>
      </patternFill>
    </fill>
    <fill>
      <patternFill patternType="solid">
        <fgColor rgb="FFFCE4D6"/>
        <bgColor rgb="FFFFF2CC"/>
      </patternFill>
    </fill>
    <fill>
      <patternFill patternType="solid">
        <fgColor rgb="FFF4CCCC"/>
        <bgColor rgb="FFD9D9D9"/>
      </patternFill>
    </fill>
    <fill>
      <patternFill patternType="solid">
        <fgColor rgb="FFE2F0D9"/>
        <bgColor rgb="FFEAF1F5"/>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
      <left style="thin">
        <color rgb="FFB8C7D1"/>
      </left>
      <right/>
      <top style="thin">
        <color rgb="FFB8C7D1"/>
      </top>
      <bottom style="thin">
        <color rgb="FFB8C7D1"/>
      </bottom>
      <diagonal/>
    </border>
    <border>
      <left/>
      <right/>
      <top style="thin">
        <color rgb="FFB8C7D1"/>
      </top>
      <bottom style="thin">
        <color rgb="FFB8C7D1"/>
      </bottom>
      <diagonal/>
    </border>
    <border>
      <left/>
      <right style="thin">
        <color rgb="FFB8C7D1"/>
      </right>
      <top style="thin">
        <color rgb="FFB8C7D1"/>
      </top>
      <bottom style="thin">
        <color rgb="FFB8C7D1"/>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vertical="center" wrapText="1"/>
    </xf>
    <xf numFmtId="0" fontId="2" fillId="0" borderId="0" xfId="0" applyFont="1"/>
    <xf numFmtId="0" fontId="3" fillId="0" borderId="0" xfId="0" applyFont="1" applyAlignment="1">
      <alignment vertical="center" wrapText="1"/>
    </xf>
    <xf numFmtId="0" fontId="4" fillId="3" borderId="0" xfId="0" applyFont="1" applyFill="1" applyAlignment="1">
      <alignment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5" fillId="5" borderId="4" xfId="0" applyFont="1" applyFill="1" applyBorder="1" applyAlignment="1">
      <alignment horizontal="center" vertical="top" wrapText="1"/>
    </xf>
    <xf numFmtId="0" fontId="5" fillId="5" borderId="5" xfId="0" applyFont="1" applyFill="1" applyBorder="1" applyAlignment="1">
      <alignment horizontal="center" vertical="top" wrapText="1"/>
    </xf>
    <xf numFmtId="0" fontId="5" fillId="5" borderId="5" xfId="0" applyFont="1" applyFill="1" applyBorder="1" applyAlignment="1">
      <alignment vertical="top" wrapText="1"/>
    </xf>
    <xf numFmtId="0" fontId="5" fillId="5" borderId="6" xfId="0" applyFont="1" applyFill="1" applyBorder="1" applyAlignment="1">
      <alignmen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8" xfId="0" applyFont="1" applyBorder="1" applyAlignment="1">
      <alignment vertical="top" wrapText="1"/>
    </xf>
    <xf numFmtId="0" fontId="5" fillId="5" borderId="7" xfId="0" applyFont="1" applyFill="1" applyBorder="1" applyAlignment="1">
      <alignment horizontal="center" vertical="top" wrapText="1"/>
    </xf>
    <xf numFmtId="0" fontId="5" fillId="5" borderId="0" xfId="0" applyFont="1" applyFill="1" applyAlignment="1">
      <alignment horizontal="center" vertical="top" wrapText="1"/>
    </xf>
    <xf numFmtId="0" fontId="5" fillId="5" borderId="0" xfId="0" applyFont="1" applyFill="1" applyAlignment="1">
      <alignment vertical="top" wrapText="1"/>
    </xf>
    <xf numFmtId="0" fontId="5" fillId="5" borderId="8" xfId="0" applyFont="1" applyFill="1" applyBorder="1" applyAlignment="1">
      <alignment vertical="top" wrapText="1"/>
    </xf>
    <xf numFmtId="0" fontId="5" fillId="5" borderId="9" xfId="0" applyFont="1" applyFill="1" applyBorder="1" applyAlignment="1">
      <alignment horizontal="center" vertical="top" wrapText="1"/>
    </xf>
    <xf numFmtId="0" fontId="5" fillId="5" borderId="10" xfId="0" applyFont="1" applyFill="1" applyBorder="1" applyAlignment="1">
      <alignment horizontal="center" vertical="top" wrapText="1"/>
    </xf>
    <xf numFmtId="0" fontId="5" fillId="5" borderId="10" xfId="0" applyFont="1" applyFill="1" applyBorder="1" applyAlignment="1">
      <alignment vertical="top" wrapText="1"/>
    </xf>
    <xf numFmtId="0" fontId="5" fillId="5" borderId="11" xfId="0" applyFont="1" applyFill="1" applyBorder="1" applyAlignment="1">
      <alignment vertical="top"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1" fillId="2" borderId="0" xfId="0" applyFont="1" applyFill="1" applyAlignment="1">
      <alignment horizontal="center" vertical="center"/>
    </xf>
    <xf numFmtId="0" fontId="1" fillId="4" borderId="15" xfId="0" applyFont="1" applyFill="1" applyBorder="1" applyAlignment="1">
      <alignment horizontal="center" vertical="center"/>
    </xf>
    <xf numFmtId="0" fontId="1" fillId="4" borderId="0" xfId="0" applyFont="1" applyFill="1" applyAlignment="1">
      <alignment horizontal="center" vertical="center" textRotation="90"/>
    </xf>
    <xf numFmtId="0" fontId="8" fillId="6" borderId="15"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9" borderId="15" xfId="0" applyFont="1" applyFill="1" applyBorder="1" applyAlignment="1">
      <alignment horizontal="center" vertical="center" wrapText="1"/>
    </xf>
    <xf numFmtId="0" fontId="1" fillId="4" borderId="0" xfId="0" applyFont="1" applyFill="1" applyAlignment="1">
      <alignment horizontal="center" vertical="center"/>
    </xf>
    <xf numFmtId="0" fontId="4" fillId="3" borderId="0" xfId="0" applyFont="1" applyFill="1" applyAlignment="1">
      <alignment wrapText="1"/>
    </xf>
    <xf numFmtId="0" fontId="1" fillId="4" borderId="16" xfId="0" applyFont="1" applyFill="1" applyBorder="1" applyAlignment="1">
      <alignment horizontal="center"/>
    </xf>
    <xf numFmtId="0" fontId="7" fillId="8" borderId="16" xfId="0" applyFont="1" applyFill="1" applyBorder="1" applyAlignment="1">
      <alignment horizontal="center"/>
    </xf>
    <xf numFmtId="0" fontId="5" fillId="0" borderId="16" xfId="0" applyFont="1" applyBorder="1" applyAlignment="1">
      <alignment horizontal="center"/>
    </xf>
    <xf numFmtId="0" fontId="7" fillId="7" borderId="16" xfId="0" applyFont="1" applyFill="1" applyBorder="1" applyAlignment="1">
      <alignment horizontal="center"/>
    </xf>
    <xf numFmtId="0" fontId="7" fillId="6" borderId="16" xfId="0" applyFont="1" applyFill="1" applyBorder="1" applyAlignment="1">
      <alignment horizontal="center"/>
    </xf>
    <xf numFmtId="0" fontId="7" fillId="9" borderId="16" xfId="0" applyFont="1" applyFill="1" applyBorder="1" applyAlignment="1">
      <alignment horizontal="center"/>
    </xf>
    <xf numFmtId="0" fontId="1" fillId="4" borderId="16" xfId="0" applyFont="1" applyFill="1" applyBorder="1" applyAlignment="1">
      <alignment horizontal="center" wrapText="1"/>
    </xf>
    <xf numFmtId="0" fontId="2" fillId="0" borderId="16" xfId="0" applyFont="1" applyBorder="1" applyAlignment="1">
      <alignment wrapText="1"/>
    </xf>
    <xf numFmtId="0" fontId="1" fillId="4" borderId="16" xfId="0" applyFont="1" applyFill="1" applyBorder="1" applyAlignment="1">
      <alignment horizontal="center" wrapText="1"/>
    </xf>
    <xf numFmtId="0" fontId="2" fillId="0" borderId="16" xfId="0" applyFont="1" applyBorder="1" applyAlignment="1">
      <alignment wrapText="1"/>
    </xf>
  </cellXfs>
  <cellStyles count="1">
    <cellStyle name="Normal" xfId="0" builtinId="0"/>
  </cellStyles>
  <dxfs count="23">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ill>
        <patternFill>
          <bgColor rgb="FFE2F0D9"/>
        </patternFill>
      </fill>
    </dxf>
    <dxf>
      <fill>
        <patternFill>
          <bgColor rgb="FFFFF2CC"/>
        </patternFill>
      </fill>
    </dxf>
    <dxf>
      <font>
        <b/>
      </font>
      <fill>
        <patternFill>
          <bgColor rgb="FFFCE4D6"/>
        </patternFill>
      </fill>
    </dxf>
    <dxf>
      <font>
        <b/>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7D1"/>
      <rgbColor rgb="FF808080"/>
      <rgbColor rgb="FF9999FF"/>
      <rgbColor rgb="FF993366"/>
      <rgbColor rgb="FFFFF2CC"/>
      <rgbColor rgb="FFEAF1F5"/>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7FAFC"/>
      <rgbColor rgb="FFE2F0D9"/>
      <rgbColor rgb="FFFCE4D6"/>
      <rgbColor rgb="FFD9D9D9"/>
      <rgbColor rgb="FFFF99CC"/>
      <rgbColor rgb="FFCC99FF"/>
      <rgbColor rgb="FFF4CCCC"/>
      <rgbColor rgb="FF3366FF"/>
      <rgbColor rgb="FF33CCCC"/>
      <rgbColor rgb="FF99CC00"/>
      <rgbColor rgb="FFFFCC00"/>
      <rgbColor rgb="FFFF9900"/>
      <rgbColor rgb="FFFF6600"/>
      <rgbColor rgb="FF666666"/>
      <rgbColor rgb="FFB3B3B3"/>
      <rgbColor rgb="FF002E4E"/>
      <rgbColor rgb="FF339966"/>
      <rgbColor rgb="FF003300"/>
      <rgbColor rgb="FF333300"/>
      <rgbColor rgb="FF993300"/>
      <rgbColor rgb="FF993366"/>
      <rgbColor rgb="FF003F6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ea typeface="Calibri"/>
              </a:defRPr>
            </a:pPr>
            <a:r>
              <a:rPr lang="es-CL" sz="1800" b="1" strike="noStrike" spc="-1">
                <a:solidFill>
                  <a:srgbClr val="000000"/>
                </a:solidFill>
                <a:latin typeface="Calibri"/>
                <a:ea typeface="Calibri"/>
              </a:rPr>
              <a:t>Nivel de cada riesgo (Probabilidad × Impacto)</a:t>
            </a:r>
          </a:p>
        </c:rich>
      </c:tx>
      <c:overlay val="0"/>
      <c:spPr>
        <a:noFill/>
        <a:ln w="0">
          <a:noFill/>
        </a:ln>
      </c:spPr>
    </c:title>
    <c:autoTitleDeleted val="0"/>
    <c:plotArea>
      <c:layout/>
      <c:barChart>
        <c:barDir val="col"/>
        <c:grouping val="clustered"/>
        <c:varyColors val="0"/>
        <c:ser>
          <c:idx val="0"/>
          <c:order val="0"/>
          <c:tx>
            <c:strRef>
              <c:f>'Gráfico Matriz'!$C$19</c:f>
              <c:strCache>
                <c:ptCount val="1"/>
                <c:pt idx="0">
                  <c:v>Nivel (P × I)</c:v>
                </c:pt>
              </c:strCache>
            </c:strRef>
          </c:tx>
          <c:spPr>
            <a:solidFill>
              <a:srgbClr val="003F6C"/>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s-CL"/>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 Matriz'!$B$20:$B$34</c:f>
              <c:strCache>
                <c:ptCount val="15"/>
                <c:pt idx="0">
                  <c:v> R1</c:v>
                </c:pt>
                <c:pt idx="1">
                  <c:v> R2</c:v>
                </c:pt>
                <c:pt idx="2">
                  <c:v> R3</c:v>
                </c:pt>
                <c:pt idx="3">
                  <c:v> R4</c:v>
                </c:pt>
                <c:pt idx="4">
                  <c:v> R5</c:v>
                </c:pt>
                <c:pt idx="5">
                  <c:v> R6</c:v>
                </c:pt>
                <c:pt idx="6">
                  <c:v> R7</c:v>
                </c:pt>
                <c:pt idx="7">
                  <c:v> R8</c:v>
                </c:pt>
                <c:pt idx="8">
                  <c:v> R9</c:v>
                </c:pt>
                <c:pt idx="9">
                  <c:v> R10</c:v>
                </c:pt>
                <c:pt idx="10">
                  <c:v> R11</c:v>
                </c:pt>
                <c:pt idx="11">
                  <c:v> R12</c:v>
                </c:pt>
                <c:pt idx="12">
                  <c:v> R13</c:v>
                </c:pt>
                <c:pt idx="13">
                  <c:v> R14</c:v>
                </c:pt>
                <c:pt idx="14">
                  <c:v> R15</c:v>
                </c:pt>
              </c:strCache>
            </c:strRef>
          </c:cat>
          <c:val>
            <c:numRef>
              <c:f>'Gráfico Matriz'!$C$20:$C$34</c:f>
              <c:numCache>
                <c:formatCode>General</c:formatCode>
                <c:ptCount val="15"/>
                <c:pt idx="0">
                  <c:v>20</c:v>
                </c:pt>
                <c:pt idx="1">
                  <c:v>15</c:v>
                </c:pt>
                <c:pt idx="2">
                  <c:v>15</c:v>
                </c:pt>
                <c:pt idx="3">
                  <c:v>12</c:v>
                </c:pt>
                <c:pt idx="4">
                  <c:v>9</c:v>
                </c:pt>
                <c:pt idx="5">
                  <c:v>15</c:v>
                </c:pt>
                <c:pt idx="6">
                  <c:v>16</c:v>
                </c:pt>
                <c:pt idx="7">
                  <c:v>9</c:v>
                </c:pt>
                <c:pt idx="8">
                  <c:v>12</c:v>
                </c:pt>
                <c:pt idx="9">
                  <c:v>12</c:v>
                </c:pt>
                <c:pt idx="10">
                  <c:v>12</c:v>
                </c:pt>
                <c:pt idx="11">
                  <c:v>9</c:v>
                </c:pt>
                <c:pt idx="12">
                  <c:v>8</c:v>
                </c:pt>
                <c:pt idx="13">
                  <c:v>20</c:v>
                </c:pt>
                <c:pt idx="14">
                  <c:v>12</c:v>
                </c:pt>
              </c:numCache>
            </c:numRef>
          </c:val>
          <c:extLst>
            <c:ext xmlns:c16="http://schemas.microsoft.com/office/drawing/2014/chart" uri="{C3380CC4-5D6E-409C-BE32-E72D297353CC}">
              <c16:uniqueId val="{00000000-9772-4ABF-B4D0-B15DFB89D7FD}"/>
            </c:ext>
          </c:extLst>
        </c:ser>
        <c:dLbls>
          <c:showLegendKey val="0"/>
          <c:showVal val="0"/>
          <c:showCatName val="0"/>
          <c:showSerName val="0"/>
          <c:showPercent val="0"/>
          <c:showBubbleSize val="0"/>
        </c:dLbls>
        <c:gapWidth val="150"/>
        <c:axId val="99293726"/>
        <c:axId val="98908819"/>
      </c:barChart>
      <c:catAx>
        <c:axId val="99293726"/>
        <c:scaling>
          <c:orientation val="minMax"/>
        </c:scaling>
        <c:delete val="0"/>
        <c:axPos val="b"/>
        <c:title>
          <c:tx>
            <c:rich>
              <a:bodyPr rot="0"/>
              <a:lstStyle/>
              <a:p>
                <a:pPr>
                  <a:defRPr sz="1000" b="1" strike="noStrike" spc="-1">
                    <a:solidFill>
                      <a:srgbClr val="000000"/>
                    </a:solidFill>
                    <a:latin typeface="Calibri"/>
                    <a:ea typeface="Calibri"/>
                  </a:defRPr>
                </a:pPr>
                <a:r>
                  <a:rPr lang="es-CL" sz="1000" b="1" strike="noStrike" spc="-1">
                    <a:solidFill>
                      <a:srgbClr val="000000"/>
                    </a:solidFill>
                    <a:latin typeface="Calibri"/>
                    <a:ea typeface="Calibri"/>
                  </a:rPr>
                  <a:t>Riesgo (ID)</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CL"/>
          </a:p>
        </c:txPr>
        <c:crossAx val="98908819"/>
        <c:crosses val="autoZero"/>
        <c:auto val="1"/>
        <c:lblAlgn val="ctr"/>
        <c:lblOffset val="100"/>
        <c:noMultiLvlLbl val="0"/>
      </c:catAx>
      <c:valAx>
        <c:axId val="98908819"/>
        <c:scaling>
          <c:orientation val="minMax"/>
          <c:max val="25"/>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ea typeface="Calibri"/>
                  </a:defRPr>
                </a:pPr>
                <a:r>
                  <a:rPr lang="es-CL" sz="1000" b="1" strike="noStrike" spc="-1">
                    <a:solidFill>
                      <a:srgbClr val="000000"/>
                    </a:solidFill>
                    <a:latin typeface="Calibri"/>
                    <a:ea typeface="Calibri"/>
                  </a:rPr>
                  <a:t>Nivel (1-25)</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CL"/>
          </a:p>
        </c:txPr>
        <c:crossAx val="992937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7</xdr:col>
      <xdr:colOff>236880</xdr:colOff>
      <xdr:row>51</xdr:row>
      <xdr:rowOff>29655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MatrixTable" displayName="RiskMatrixTable" ref="A5:Q20" totalsRowShown="0" headerRowDxfId="1" dataDxfId="0">
  <tableColumns count="17">
    <tableColumn id="1" xr3:uid="{00000000-0010-0000-0000-000001000000}" name="ID" dataDxfId="18"/>
    <tableColumn id="2" xr3:uid="{00000000-0010-0000-0000-000002000000}" name="Fase" dataDxfId="17"/>
    <tableColumn id="3" xr3:uid="{00000000-0010-0000-0000-000003000000}" name="Riesgo identificado por nosotros" dataDxfId="16"/>
    <tableColumn id="4" xr3:uid="{00000000-0010-0000-0000-000004000000}" name="Causa principal" dataDxfId="15"/>
    <tableColumn id="5" xr3:uid="{00000000-0010-0000-0000-000005000000}" name="Consecuencia posible" dataDxfId="14"/>
    <tableColumn id="6" xr3:uid="{00000000-0010-0000-0000-000006000000}" name="Prob. (1-5)" dataDxfId="13"/>
    <tableColumn id="7" xr3:uid="{00000000-0010-0000-0000-000007000000}" name="Impacto (1-5)" dataDxfId="12"/>
    <tableColumn id="8" xr3:uid="{00000000-0010-0000-0000-000008000000}" name="Nivel" dataDxfId="11"/>
    <tableColumn id="9" xr3:uid="{00000000-0010-0000-0000-000009000000}" name="Prioridad" dataDxfId="10"/>
    <tableColumn id="10" xr3:uid="{00000000-0010-0000-0000-00000A000000}" name="Respuesta" dataDxfId="9"/>
    <tableColumn id="11" xr3:uid="{00000000-0010-0000-0000-00000B000000}" name="Acciones preventivas / controles" dataDxfId="8"/>
    <tableColumn id="12" xr3:uid="{00000000-0010-0000-0000-00000C000000}" name="Plan de contingencia" dataDxfId="7"/>
    <tableColumn id="13" xr3:uid="{00000000-0010-0000-0000-00000D000000}" name="Responsable principal" dataDxfId="6"/>
    <tableColumn id="14" xr3:uid="{00000000-0010-0000-0000-00000E000000}" name="Semana de control" dataDxfId="5"/>
    <tableColumn id="15" xr3:uid="{00000000-0010-0000-0000-00000F000000}" name="Estado" dataDxfId="4"/>
    <tableColumn id="16" xr3:uid="{00000000-0010-0000-0000-000010000000}" name="Dependencias relacionadas" dataDxfId="3"/>
    <tableColumn id="17" xr3:uid="{00000000-0010-0000-0000-000011000000}" name="Observación / criterio del equipo" dataDxfId="2"/>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tabSelected="1" topLeftCell="G12" zoomScaleNormal="100" workbookViewId="0">
      <selection activeCell="A2" sqref="A2:Q2"/>
    </sheetView>
  </sheetViews>
  <sheetFormatPr baseColWidth="10" defaultColWidth="8.75" defaultRowHeight="15"/>
  <cols>
    <col min="1" max="1" width="6" style="2" customWidth="1"/>
    <col min="2" max="2" width="19" style="2" customWidth="1"/>
    <col min="3" max="3" width="34" style="2" customWidth="1"/>
    <col min="4" max="4" width="28" style="2" customWidth="1"/>
    <col min="5" max="5" width="31" style="2" customWidth="1"/>
    <col min="6" max="6" width="11.25" style="2" customWidth="1"/>
    <col min="7" max="7" width="13.25" style="2" customWidth="1"/>
    <col min="8" max="8" width="9" style="2" customWidth="1"/>
    <col min="9" max="9" width="12" style="2" customWidth="1"/>
    <col min="10" max="10" width="13" style="2" customWidth="1"/>
    <col min="11" max="11" width="38" style="2" customWidth="1"/>
    <col min="12" max="12" width="34" style="2" customWidth="1"/>
    <col min="13" max="13" width="24" style="2" customWidth="1"/>
    <col min="14" max="14" width="17" style="2" customWidth="1"/>
    <col min="15" max="15" width="11" style="2" customWidth="1"/>
    <col min="16" max="16" width="28" style="2" customWidth="1"/>
    <col min="17" max="17" width="30" style="2" customWidth="1"/>
    <col min="18" max="16384" width="8.75" style="2"/>
  </cols>
  <sheetData>
    <row r="1" spans="1:17" ht="27" customHeight="1">
      <c r="A1" s="1" t="s">
        <v>0</v>
      </c>
      <c r="B1" s="1"/>
      <c r="C1" s="1"/>
      <c r="D1" s="1"/>
      <c r="E1" s="1"/>
      <c r="F1" s="1"/>
      <c r="G1" s="1"/>
      <c r="H1" s="1"/>
      <c r="I1" s="1"/>
      <c r="J1" s="1"/>
      <c r="K1" s="1"/>
      <c r="L1" s="1"/>
      <c r="M1" s="1"/>
      <c r="N1" s="1"/>
      <c r="O1" s="1"/>
      <c r="P1" s="1"/>
      <c r="Q1" s="1"/>
    </row>
    <row r="2" spans="1:17" ht="78" customHeight="1">
      <c r="A2" s="3" t="s">
        <v>1</v>
      </c>
      <c r="B2" s="3"/>
      <c r="C2" s="3"/>
      <c r="D2" s="3"/>
      <c r="E2" s="3"/>
      <c r="F2" s="3"/>
      <c r="G2" s="3"/>
      <c r="H2" s="3"/>
      <c r="I2" s="3"/>
      <c r="J2" s="3"/>
      <c r="K2" s="3"/>
      <c r="L2" s="3"/>
      <c r="M2" s="3"/>
      <c r="N2" s="3"/>
      <c r="O2" s="3"/>
      <c r="P2" s="3"/>
      <c r="Q2" s="3"/>
    </row>
    <row r="3" spans="1:17" ht="36" customHeight="1">
      <c r="A3" s="4" t="s">
        <v>2</v>
      </c>
      <c r="B3" s="4"/>
      <c r="C3" s="4"/>
      <c r="D3" s="4"/>
      <c r="E3" s="4"/>
      <c r="F3" s="4"/>
      <c r="G3" s="4"/>
      <c r="H3" s="4"/>
      <c r="I3" s="4"/>
      <c r="J3" s="4"/>
      <c r="K3" s="4"/>
      <c r="L3" s="4"/>
      <c r="M3" s="4"/>
      <c r="N3" s="4"/>
      <c r="O3" s="4"/>
      <c r="P3" s="4"/>
      <c r="Q3" s="4"/>
    </row>
    <row r="5" spans="1:17" ht="33" customHeight="1">
      <c r="A5" s="5"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7" t="s">
        <v>19</v>
      </c>
    </row>
    <row r="6" spans="1:17" ht="187.5" customHeight="1">
      <c r="A6" s="8">
        <v>1</v>
      </c>
      <c r="B6" s="9" t="s">
        <v>20</v>
      </c>
      <c r="C6" s="10" t="s">
        <v>21</v>
      </c>
      <c r="D6" s="10" t="s">
        <v>22</v>
      </c>
      <c r="E6" s="10" t="s">
        <v>23</v>
      </c>
      <c r="F6" s="9">
        <v>4</v>
      </c>
      <c r="G6" s="9">
        <v>5</v>
      </c>
      <c r="H6" s="9">
        <f t="shared" ref="H6:H20" si="0">F6*G6</f>
        <v>20</v>
      </c>
      <c r="I6" s="9" t="str">
        <f t="shared" ref="I6:I20" si="1">IF(H6&gt;=15,"Crítico",IF(H6&gt;=10,"Alto",IF(H6&gt;=5,"Medio","Bajo")))</f>
        <v>Crítico</v>
      </c>
      <c r="J6" s="10" t="s">
        <v>24</v>
      </c>
      <c r="K6" s="10" t="s">
        <v>25</v>
      </c>
      <c r="L6" s="10" t="s">
        <v>26</v>
      </c>
      <c r="M6" s="10" t="s">
        <v>27</v>
      </c>
      <c r="N6" s="9" t="s">
        <v>28</v>
      </c>
      <c r="O6" s="9" t="s">
        <v>29</v>
      </c>
      <c r="P6" s="10" t="s">
        <v>30</v>
      </c>
      <c r="Q6" s="11" t="s">
        <v>31</v>
      </c>
    </row>
    <row r="7" spans="1:17" ht="172.5" customHeight="1">
      <c r="A7" s="12">
        <v>2</v>
      </c>
      <c r="B7" s="13" t="s">
        <v>32</v>
      </c>
      <c r="C7" s="14" t="s">
        <v>33</v>
      </c>
      <c r="D7" s="14" t="s">
        <v>34</v>
      </c>
      <c r="E7" s="14" t="s">
        <v>35</v>
      </c>
      <c r="F7" s="13">
        <v>3</v>
      </c>
      <c r="G7" s="13">
        <v>5</v>
      </c>
      <c r="H7" s="13">
        <f t="shared" si="0"/>
        <v>15</v>
      </c>
      <c r="I7" s="13" t="str">
        <f t="shared" si="1"/>
        <v>Crítico</v>
      </c>
      <c r="J7" s="14" t="s">
        <v>24</v>
      </c>
      <c r="K7" s="14" t="s">
        <v>36</v>
      </c>
      <c r="L7" s="14" t="s">
        <v>37</v>
      </c>
      <c r="M7" s="14" t="s">
        <v>27</v>
      </c>
      <c r="N7" s="13" t="s">
        <v>38</v>
      </c>
      <c r="O7" s="13" t="s">
        <v>29</v>
      </c>
      <c r="P7" s="14" t="s">
        <v>39</v>
      </c>
      <c r="Q7" s="15" t="s">
        <v>40</v>
      </c>
    </row>
    <row r="8" spans="1:17" ht="142.5" customHeight="1">
      <c r="A8" s="16">
        <v>3</v>
      </c>
      <c r="B8" s="17" t="s">
        <v>41</v>
      </c>
      <c r="C8" s="18" t="s">
        <v>42</v>
      </c>
      <c r="D8" s="18" t="s">
        <v>43</v>
      </c>
      <c r="E8" s="18" t="s">
        <v>44</v>
      </c>
      <c r="F8" s="17">
        <v>3</v>
      </c>
      <c r="G8" s="17">
        <v>5</v>
      </c>
      <c r="H8" s="17">
        <f t="shared" si="0"/>
        <v>15</v>
      </c>
      <c r="I8" s="17" t="str">
        <f t="shared" si="1"/>
        <v>Crítico</v>
      </c>
      <c r="J8" s="18" t="s">
        <v>24</v>
      </c>
      <c r="K8" s="18" t="s">
        <v>45</v>
      </c>
      <c r="L8" s="18" t="s">
        <v>46</v>
      </c>
      <c r="M8" s="18" t="s">
        <v>27</v>
      </c>
      <c r="N8" s="17" t="s">
        <v>47</v>
      </c>
      <c r="O8" s="17" t="s">
        <v>29</v>
      </c>
      <c r="P8" s="18" t="s">
        <v>48</v>
      </c>
      <c r="Q8" s="19" t="s">
        <v>49</v>
      </c>
    </row>
    <row r="9" spans="1:17" ht="202.5" customHeight="1">
      <c r="A9" s="12">
        <v>4</v>
      </c>
      <c r="B9" s="13" t="s">
        <v>41</v>
      </c>
      <c r="C9" s="14" t="s">
        <v>50</v>
      </c>
      <c r="D9" s="14" t="s">
        <v>51</v>
      </c>
      <c r="E9" s="14" t="s">
        <v>52</v>
      </c>
      <c r="F9" s="13">
        <v>3</v>
      </c>
      <c r="G9" s="13">
        <v>4</v>
      </c>
      <c r="H9" s="13">
        <f t="shared" si="0"/>
        <v>12</v>
      </c>
      <c r="I9" s="13" t="str">
        <f t="shared" si="1"/>
        <v>Alto</v>
      </c>
      <c r="J9" s="14" t="s">
        <v>24</v>
      </c>
      <c r="K9" s="14" t="s">
        <v>53</v>
      </c>
      <c r="L9" s="14" t="s">
        <v>54</v>
      </c>
      <c r="M9" s="14" t="s">
        <v>27</v>
      </c>
      <c r="N9" s="13" t="s">
        <v>47</v>
      </c>
      <c r="O9" s="13" t="s">
        <v>29</v>
      </c>
      <c r="P9" s="14" t="s">
        <v>55</v>
      </c>
      <c r="Q9" s="15" t="s">
        <v>56</v>
      </c>
    </row>
    <row r="10" spans="1:17" ht="127.5" customHeight="1">
      <c r="A10" s="16">
        <v>5</v>
      </c>
      <c r="B10" s="17" t="s">
        <v>57</v>
      </c>
      <c r="C10" s="18" t="s">
        <v>58</v>
      </c>
      <c r="D10" s="18" t="s">
        <v>59</v>
      </c>
      <c r="E10" s="18" t="s">
        <v>60</v>
      </c>
      <c r="F10" s="17">
        <v>3</v>
      </c>
      <c r="G10" s="17">
        <v>3</v>
      </c>
      <c r="H10" s="17">
        <f t="shared" si="0"/>
        <v>9</v>
      </c>
      <c r="I10" s="17" t="str">
        <f t="shared" si="1"/>
        <v>Medio</v>
      </c>
      <c r="J10" s="18" t="s">
        <v>24</v>
      </c>
      <c r="K10" s="18" t="s">
        <v>61</v>
      </c>
      <c r="L10" s="18" t="s">
        <v>62</v>
      </c>
      <c r="M10" s="18" t="s">
        <v>27</v>
      </c>
      <c r="N10" s="17" t="s">
        <v>63</v>
      </c>
      <c r="O10" s="17" t="s">
        <v>29</v>
      </c>
      <c r="P10" s="18" t="s">
        <v>64</v>
      </c>
      <c r="Q10" s="19" t="s">
        <v>65</v>
      </c>
    </row>
    <row r="11" spans="1:17" ht="187.5" customHeight="1">
      <c r="A11" s="12">
        <v>6</v>
      </c>
      <c r="B11" s="13" t="s">
        <v>41</v>
      </c>
      <c r="C11" s="14" t="s">
        <v>66</v>
      </c>
      <c r="D11" s="14" t="s">
        <v>67</v>
      </c>
      <c r="E11" s="14" t="s">
        <v>68</v>
      </c>
      <c r="F11" s="13">
        <v>3</v>
      </c>
      <c r="G11" s="13">
        <v>5</v>
      </c>
      <c r="H11" s="13">
        <f t="shared" si="0"/>
        <v>15</v>
      </c>
      <c r="I11" s="13" t="str">
        <f t="shared" si="1"/>
        <v>Crítico</v>
      </c>
      <c r="J11" s="14" t="s">
        <v>24</v>
      </c>
      <c r="K11" s="14" t="s">
        <v>69</v>
      </c>
      <c r="L11" s="14" t="s">
        <v>70</v>
      </c>
      <c r="M11" s="14" t="s">
        <v>27</v>
      </c>
      <c r="N11" s="13" t="s">
        <v>71</v>
      </c>
      <c r="O11" s="13" t="s">
        <v>29</v>
      </c>
      <c r="P11" s="14" t="s">
        <v>72</v>
      </c>
      <c r="Q11" s="15" t="s">
        <v>73</v>
      </c>
    </row>
    <row r="12" spans="1:17" ht="142.5" customHeight="1">
      <c r="A12" s="16">
        <v>7</v>
      </c>
      <c r="B12" s="17" t="s">
        <v>57</v>
      </c>
      <c r="C12" s="18" t="s">
        <v>74</v>
      </c>
      <c r="D12" s="18" t="s">
        <v>75</v>
      </c>
      <c r="E12" s="18" t="s">
        <v>76</v>
      </c>
      <c r="F12" s="17">
        <v>4</v>
      </c>
      <c r="G12" s="17">
        <v>4</v>
      </c>
      <c r="H12" s="17">
        <f t="shared" si="0"/>
        <v>16</v>
      </c>
      <c r="I12" s="17" t="str">
        <f t="shared" si="1"/>
        <v>Crítico</v>
      </c>
      <c r="J12" s="18" t="s">
        <v>24</v>
      </c>
      <c r="K12" s="18" t="s">
        <v>77</v>
      </c>
      <c r="L12" s="18" t="s">
        <v>78</v>
      </c>
      <c r="M12" s="18" t="s">
        <v>79</v>
      </c>
      <c r="N12" s="17" t="s">
        <v>80</v>
      </c>
      <c r="O12" s="17" t="s">
        <v>29</v>
      </c>
      <c r="P12" s="18" t="s">
        <v>81</v>
      </c>
      <c r="Q12" s="19" t="s">
        <v>82</v>
      </c>
    </row>
    <row r="13" spans="1:17" ht="172.5" customHeight="1">
      <c r="A13" s="12">
        <v>8</v>
      </c>
      <c r="B13" s="13" t="s">
        <v>32</v>
      </c>
      <c r="C13" s="14" t="s">
        <v>83</v>
      </c>
      <c r="D13" s="14" t="s">
        <v>84</v>
      </c>
      <c r="E13" s="14" t="s">
        <v>85</v>
      </c>
      <c r="F13" s="13">
        <v>3</v>
      </c>
      <c r="G13" s="13">
        <v>3</v>
      </c>
      <c r="H13" s="13">
        <f t="shared" si="0"/>
        <v>9</v>
      </c>
      <c r="I13" s="13" t="str">
        <f t="shared" si="1"/>
        <v>Medio</v>
      </c>
      <c r="J13" s="14" t="s">
        <v>24</v>
      </c>
      <c r="K13" s="14" t="s">
        <v>86</v>
      </c>
      <c r="L13" s="14" t="s">
        <v>87</v>
      </c>
      <c r="M13" s="14" t="s">
        <v>88</v>
      </c>
      <c r="N13" s="13" t="s">
        <v>89</v>
      </c>
      <c r="O13" s="13" t="s">
        <v>29</v>
      </c>
      <c r="P13" s="14" t="s">
        <v>90</v>
      </c>
      <c r="Q13" s="15" t="s">
        <v>91</v>
      </c>
    </row>
    <row r="14" spans="1:17" ht="142.5" customHeight="1">
      <c r="A14" s="16">
        <v>9</v>
      </c>
      <c r="B14" s="17" t="s">
        <v>41</v>
      </c>
      <c r="C14" s="18" t="s">
        <v>92</v>
      </c>
      <c r="D14" s="18" t="s">
        <v>93</v>
      </c>
      <c r="E14" s="18" t="s">
        <v>94</v>
      </c>
      <c r="F14" s="17">
        <v>3</v>
      </c>
      <c r="G14" s="17">
        <v>4</v>
      </c>
      <c r="H14" s="17">
        <f t="shared" si="0"/>
        <v>12</v>
      </c>
      <c r="I14" s="17" t="str">
        <f t="shared" si="1"/>
        <v>Alto</v>
      </c>
      <c r="J14" s="18" t="s">
        <v>24</v>
      </c>
      <c r="K14" s="18" t="s">
        <v>95</v>
      </c>
      <c r="L14" s="18" t="s">
        <v>96</v>
      </c>
      <c r="M14" s="18" t="s">
        <v>79</v>
      </c>
      <c r="N14" s="17" t="s">
        <v>80</v>
      </c>
      <c r="O14" s="17" t="s">
        <v>29</v>
      </c>
      <c r="P14" s="18" t="s">
        <v>97</v>
      </c>
      <c r="Q14" s="19" t="s">
        <v>98</v>
      </c>
    </row>
    <row r="15" spans="1:17" ht="112.5" customHeight="1">
      <c r="A15" s="12">
        <v>10</v>
      </c>
      <c r="B15" s="13" t="s">
        <v>99</v>
      </c>
      <c r="C15" s="14" t="s">
        <v>100</v>
      </c>
      <c r="D15" s="14" t="s">
        <v>101</v>
      </c>
      <c r="E15" s="14" t="s">
        <v>102</v>
      </c>
      <c r="F15" s="13">
        <v>4</v>
      </c>
      <c r="G15" s="13">
        <v>3</v>
      </c>
      <c r="H15" s="13">
        <f t="shared" si="0"/>
        <v>12</v>
      </c>
      <c r="I15" s="13" t="str">
        <f t="shared" si="1"/>
        <v>Alto</v>
      </c>
      <c r="J15" s="14" t="s">
        <v>24</v>
      </c>
      <c r="K15" s="14" t="s">
        <v>103</v>
      </c>
      <c r="L15" s="14" t="s">
        <v>104</v>
      </c>
      <c r="M15" s="14" t="s">
        <v>27</v>
      </c>
      <c r="N15" s="13" t="s">
        <v>105</v>
      </c>
      <c r="O15" s="13" t="s">
        <v>29</v>
      </c>
      <c r="P15" s="14" t="s">
        <v>106</v>
      </c>
      <c r="Q15" s="15" t="s">
        <v>107</v>
      </c>
    </row>
    <row r="16" spans="1:17" ht="217.5" customHeight="1">
      <c r="A16" s="16">
        <v>11</v>
      </c>
      <c r="B16" s="17" t="s">
        <v>41</v>
      </c>
      <c r="C16" s="18" t="s">
        <v>108</v>
      </c>
      <c r="D16" s="18" t="s">
        <v>109</v>
      </c>
      <c r="E16" s="18" t="s">
        <v>110</v>
      </c>
      <c r="F16" s="17">
        <v>3</v>
      </c>
      <c r="G16" s="17">
        <v>4</v>
      </c>
      <c r="H16" s="17">
        <f t="shared" si="0"/>
        <v>12</v>
      </c>
      <c r="I16" s="17" t="str">
        <f t="shared" si="1"/>
        <v>Alto</v>
      </c>
      <c r="J16" s="18" t="s">
        <v>24</v>
      </c>
      <c r="K16" s="18" t="s">
        <v>111</v>
      </c>
      <c r="L16" s="18" t="s">
        <v>112</v>
      </c>
      <c r="M16" s="18" t="s">
        <v>88</v>
      </c>
      <c r="N16" s="17" t="s">
        <v>113</v>
      </c>
      <c r="O16" s="17" t="s">
        <v>29</v>
      </c>
      <c r="P16" s="18" t="s">
        <v>114</v>
      </c>
      <c r="Q16" s="19" t="s">
        <v>115</v>
      </c>
    </row>
    <row r="17" spans="1:17" ht="172.5" customHeight="1">
      <c r="A17" s="12">
        <v>12</v>
      </c>
      <c r="B17" s="13" t="s">
        <v>41</v>
      </c>
      <c r="C17" s="14" t="s">
        <v>116</v>
      </c>
      <c r="D17" s="14" t="s">
        <v>117</v>
      </c>
      <c r="E17" s="14" t="s">
        <v>118</v>
      </c>
      <c r="F17" s="13">
        <v>3</v>
      </c>
      <c r="G17" s="13">
        <v>3</v>
      </c>
      <c r="H17" s="13">
        <f t="shared" si="0"/>
        <v>9</v>
      </c>
      <c r="I17" s="13" t="str">
        <f t="shared" si="1"/>
        <v>Medio</v>
      </c>
      <c r="J17" s="14" t="s">
        <v>24</v>
      </c>
      <c r="K17" s="14" t="s">
        <v>119</v>
      </c>
      <c r="L17" s="14" t="s">
        <v>120</v>
      </c>
      <c r="M17" s="14" t="s">
        <v>79</v>
      </c>
      <c r="N17" s="13" t="s">
        <v>121</v>
      </c>
      <c r="O17" s="13" t="s">
        <v>29</v>
      </c>
      <c r="P17" s="14" t="s">
        <v>122</v>
      </c>
      <c r="Q17" s="15" t="s">
        <v>123</v>
      </c>
    </row>
    <row r="18" spans="1:17" ht="127.5" customHeight="1">
      <c r="A18" s="16">
        <v>13</v>
      </c>
      <c r="B18" s="17" t="s">
        <v>41</v>
      </c>
      <c r="C18" s="18" t="s">
        <v>124</v>
      </c>
      <c r="D18" s="18" t="s">
        <v>125</v>
      </c>
      <c r="E18" s="18" t="s">
        <v>126</v>
      </c>
      <c r="F18" s="17">
        <v>2</v>
      </c>
      <c r="G18" s="17">
        <v>4</v>
      </c>
      <c r="H18" s="17">
        <f t="shared" si="0"/>
        <v>8</v>
      </c>
      <c r="I18" s="17" t="str">
        <f t="shared" si="1"/>
        <v>Medio</v>
      </c>
      <c r="J18" s="18" t="s">
        <v>24</v>
      </c>
      <c r="K18" s="18" t="s">
        <v>127</v>
      </c>
      <c r="L18" s="18" t="s">
        <v>128</v>
      </c>
      <c r="M18" s="18" t="s">
        <v>88</v>
      </c>
      <c r="N18" s="17" t="s">
        <v>47</v>
      </c>
      <c r="O18" s="17" t="s">
        <v>29</v>
      </c>
      <c r="P18" s="18" t="s">
        <v>129</v>
      </c>
      <c r="Q18" s="19" t="s">
        <v>130</v>
      </c>
    </row>
    <row r="19" spans="1:17" ht="127.5" customHeight="1">
      <c r="A19" s="12">
        <v>14</v>
      </c>
      <c r="B19" s="13" t="s">
        <v>131</v>
      </c>
      <c r="C19" s="14" t="s">
        <v>132</v>
      </c>
      <c r="D19" s="14" t="s">
        <v>133</v>
      </c>
      <c r="E19" s="14" t="s">
        <v>134</v>
      </c>
      <c r="F19" s="13">
        <v>4</v>
      </c>
      <c r="G19" s="13">
        <v>5</v>
      </c>
      <c r="H19" s="13">
        <f t="shared" si="0"/>
        <v>20</v>
      </c>
      <c r="I19" s="13" t="str">
        <f t="shared" si="1"/>
        <v>Crítico</v>
      </c>
      <c r="J19" s="14" t="s">
        <v>24</v>
      </c>
      <c r="K19" s="14" t="s">
        <v>135</v>
      </c>
      <c r="L19" s="14" t="s">
        <v>136</v>
      </c>
      <c r="M19" s="14" t="s">
        <v>79</v>
      </c>
      <c r="N19" s="13" t="s">
        <v>137</v>
      </c>
      <c r="O19" s="13" t="s">
        <v>29</v>
      </c>
      <c r="P19" s="14" t="s">
        <v>138</v>
      </c>
      <c r="Q19" s="15" t="s">
        <v>139</v>
      </c>
    </row>
    <row r="20" spans="1:17" ht="172.5" customHeight="1">
      <c r="A20" s="20">
        <v>15</v>
      </c>
      <c r="B20" s="21" t="s">
        <v>99</v>
      </c>
      <c r="C20" s="22" t="s">
        <v>140</v>
      </c>
      <c r="D20" s="22" t="s">
        <v>141</v>
      </c>
      <c r="E20" s="22" t="s">
        <v>142</v>
      </c>
      <c r="F20" s="21">
        <v>3</v>
      </c>
      <c r="G20" s="21">
        <v>4</v>
      </c>
      <c r="H20" s="21">
        <f t="shared" si="0"/>
        <v>12</v>
      </c>
      <c r="I20" s="21" t="str">
        <f t="shared" si="1"/>
        <v>Alto</v>
      </c>
      <c r="J20" s="22" t="s">
        <v>24</v>
      </c>
      <c r="K20" s="22" t="s">
        <v>143</v>
      </c>
      <c r="L20" s="22" t="s">
        <v>144</v>
      </c>
      <c r="M20" s="22" t="s">
        <v>88</v>
      </c>
      <c r="N20" s="21" t="s">
        <v>145</v>
      </c>
      <c r="O20" s="21" t="s">
        <v>29</v>
      </c>
      <c r="P20" s="22" t="s">
        <v>146</v>
      </c>
      <c r="Q20" s="23" t="s">
        <v>147</v>
      </c>
    </row>
    <row r="22" spans="1:17" ht="51.75" customHeight="1">
      <c r="A22" s="4" t="s">
        <v>148</v>
      </c>
      <c r="B22" s="4"/>
      <c r="C22" s="4"/>
      <c r="D22" s="4"/>
      <c r="E22" s="4"/>
      <c r="F22" s="4"/>
      <c r="G22" s="4"/>
      <c r="H22" s="4"/>
      <c r="I22" s="4"/>
      <c r="J22" s="4"/>
      <c r="K22" s="4"/>
      <c r="L22" s="4"/>
      <c r="M22" s="4"/>
      <c r="N22" s="4"/>
      <c r="O22" s="4"/>
      <c r="P22" s="4"/>
      <c r="Q22" s="4"/>
    </row>
    <row r="24" spans="1:17" ht="14.25" customHeight="1">
      <c r="A24" s="24" t="s">
        <v>149</v>
      </c>
      <c r="B24" s="24"/>
      <c r="C24" s="24"/>
      <c r="D24" s="24"/>
      <c r="E24" s="25">
        <f>COUNTA(A6:A20)</f>
        <v>15</v>
      </c>
      <c r="F24" s="25"/>
      <c r="G24" s="25"/>
      <c r="H24" s="25"/>
      <c r="I24" s="25" t="s">
        <v>150</v>
      </c>
      <c r="J24" s="25"/>
      <c r="K24" s="25"/>
      <c r="L24" s="25"/>
      <c r="M24" s="26">
        <f>COUNTIF(I6:I20,"Crítico")+COUNTIF(I6:I20,"Alto")</f>
        <v>11</v>
      </c>
      <c r="N24" s="26"/>
      <c r="O24" s="26"/>
      <c r="P24" s="26"/>
      <c r="Q24" s="26"/>
    </row>
  </sheetData>
  <mergeCells count="8">
    <mergeCell ref="A1:Q1"/>
    <mergeCell ref="A2:Q2"/>
    <mergeCell ref="A3:Q3"/>
    <mergeCell ref="A22:Q22"/>
    <mergeCell ref="A24:D24"/>
    <mergeCell ref="E24:H24"/>
    <mergeCell ref="I24:L24"/>
    <mergeCell ref="M24:Q24"/>
  </mergeCells>
  <conditionalFormatting sqref="H6:H20">
    <cfRule type="colorScale" priority="2">
      <colorScale>
        <cfvo type="min"/>
        <cfvo type="percentile" val="50"/>
        <cfvo type="max"/>
        <color rgb="FFE2F0D9"/>
        <color rgb="FFFFF2CC"/>
        <color rgb="FFF4CCCC"/>
      </colorScale>
    </cfRule>
  </conditionalFormatting>
  <conditionalFormatting sqref="I6:I20">
    <cfRule type="expression" dxfId="22" priority="3">
      <formula>I6="Crítico"</formula>
    </cfRule>
    <cfRule type="expression" dxfId="21" priority="4">
      <formula>I6="Alto"</formula>
    </cfRule>
    <cfRule type="expression" dxfId="20" priority="5">
      <formula>I6="Medio"</formula>
    </cfRule>
    <cfRule type="expression" dxfId="19" priority="6">
      <formula>I6="Bajo"</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showGridLines="0" zoomScaleNormal="100" workbookViewId="0">
      <selection activeCell="J5" sqref="J5"/>
    </sheetView>
  </sheetViews>
  <sheetFormatPr baseColWidth="10" defaultColWidth="8.625" defaultRowHeight="15"/>
  <cols>
    <col min="1" max="2" width="14" style="2" customWidth="1"/>
    <col min="3" max="7" width="19" style="2" customWidth="1"/>
    <col min="8" max="8" width="4" style="2" customWidth="1"/>
    <col min="9" max="16384" width="8.625" style="2"/>
  </cols>
  <sheetData>
    <row r="1" spans="1:8" ht="27" customHeight="1">
      <c r="A1" s="27" t="s">
        <v>151</v>
      </c>
      <c r="B1" s="27"/>
      <c r="C1" s="27"/>
      <c r="D1" s="27"/>
      <c r="E1" s="27"/>
      <c r="F1" s="27"/>
      <c r="G1" s="27"/>
      <c r="H1" s="27"/>
    </row>
    <row r="2" spans="1:8" ht="36" customHeight="1">
      <c r="A2" s="4" t="s">
        <v>152</v>
      </c>
      <c r="B2" s="4"/>
      <c r="C2" s="4"/>
      <c r="D2" s="4"/>
      <c r="E2" s="4"/>
      <c r="F2" s="4"/>
      <c r="G2" s="4"/>
      <c r="H2" s="4"/>
    </row>
    <row r="4" spans="1:8" ht="24" customHeight="1">
      <c r="C4" s="28" t="s">
        <v>153</v>
      </c>
      <c r="D4" s="28" t="s">
        <v>154</v>
      </c>
      <c r="E4" s="28" t="s">
        <v>155</v>
      </c>
      <c r="F4" s="28" t="s">
        <v>156</v>
      </c>
      <c r="G4" s="28" t="s">
        <v>157</v>
      </c>
    </row>
    <row r="5" spans="1:8" ht="61.5" customHeight="1">
      <c r="A5" s="29" t="s">
        <v>158</v>
      </c>
      <c r="B5" s="28" t="s">
        <v>159</v>
      </c>
      <c r="C5" s="30" t="str">
        <f>MID(IF(AND('Matriz de Riesgos'!$F$6=5,'Matriz de Riesgos'!$G$6=1),", "&amp;'Matriz de Riesgos'!$A$6,"")&amp;IF(AND('Matriz de Riesgos'!$F$7=5,'Matriz de Riesgos'!$G$7=1),", "&amp;'Matriz de Riesgos'!$A$7,"")&amp;IF(AND('Matriz de Riesgos'!$F$8=5,'Matriz de Riesgos'!$G$8=1),", "&amp;'Matriz de Riesgos'!$A$8,"")&amp;IF(AND('Matriz de Riesgos'!$F$9=5,'Matriz de Riesgos'!$G$9=1),", "&amp;'Matriz de Riesgos'!$A$9,"")&amp;IF(AND('Matriz de Riesgos'!$F$10=5,'Matriz de Riesgos'!$G$10=1),", "&amp;'Matriz de Riesgos'!$A$10,"")&amp;IF(AND('Matriz de Riesgos'!$F$11=5,'Matriz de Riesgos'!$G$11=1),", "&amp;'Matriz de Riesgos'!$A$11,"")&amp;IF(AND('Matriz de Riesgos'!$F$12=5,'Matriz de Riesgos'!$G$12=1),", "&amp;'Matriz de Riesgos'!$A$12,"")&amp;IF(AND('Matriz de Riesgos'!$F$13=5,'Matriz de Riesgos'!$G$13=1),", "&amp;'Matriz de Riesgos'!$A$13,"")&amp;IF(AND('Matriz de Riesgos'!$F$14=5,'Matriz de Riesgos'!$G$14=1),", "&amp;'Matriz de Riesgos'!$A$14,"")&amp;IF(AND('Matriz de Riesgos'!$F$15=5,'Matriz de Riesgos'!$G$15=1),", "&amp;'Matriz de Riesgos'!$A$15,"")&amp;IF(AND('Matriz de Riesgos'!$F$16=5,'Matriz de Riesgos'!$G$16=1),", "&amp;'Matriz de Riesgos'!$A$16,"")&amp;IF(AND('Matriz de Riesgos'!$F$17=5,'Matriz de Riesgos'!$G$17=1),", "&amp;'Matriz de Riesgos'!$A$17,"")&amp;IF(AND('Matriz de Riesgos'!$F$18=5,'Matriz de Riesgos'!$G$18=1),", "&amp;'Matriz de Riesgos'!$A$18,"")&amp;IF(AND('Matriz de Riesgos'!$F$19=5,'Matriz de Riesgos'!$G$19=1),", "&amp;'Matriz de Riesgos'!$A$19,"")&amp;IF(AND('Matriz de Riesgos'!$F$20=5,'Matriz de Riesgos'!$G$20=1),", "&amp;'Matriz de Riesgos'!$A$20,""),3,100)</f>
        <v/>
      </c>
      <c r="D5" s="31" t="str">
        <f>MID(IF(AND('Matriz de Riesgos'!$F$6=5,'Matriz de Riesgos'!$G$6=2),", "&amp;'Matriz de Riesgos'!$A$6,"")&amp;IF(AND('Matriz de Riesgos'!$F$7=5,'Matriz de Riesgos'!$G$7=2),", "&amp;'Matriz de Riesgos'!$A$7,"")&amp;IF(AND('Matriz de Riesgos'!$F$8=5,'Matriz de Riesgos'!$G$8=2),", "&amp;'Matriz de Riesgos'!$A$8,"")&amp;IF(AND('Matriz de Riesgos'!$F$9=5,'Matriz de Riesgos'!$G$9=2),", "&amp;'Matriz de Riesgos'!$A$9,"")&amp;IF(AND('Matriz de Riesgos'!$F$10=5,'Matriz de Riesgos'!$G$10=2),", "&amp;'Matriz de Riesgos'!$A$10,"")&amp;IF(AND('Matriz de Riesgos'!$F$11=5,'Matriz de Riesgos'!$G$11=2),", "&amp;'Matriz de Riesgos'!$A$11,"")&amp;IF(AND('Matriz de Riesgos'!$F$12=5,'Matriz de Riesgos'!$G$12=2),", "&amp;'Matriz de Riesgos'!$A$12,"")&amp;IF(AND('Matriz de Riesgos'!$F$13=5,'Matriz de Riesgos'!$G$13=2),", "&amp;'Matriz de Riesgos'!$A$13,"")&amp;IF(AND('Matriz de Riesgos'!$F$14=5,'Matriz de Riesgos'!$G$14=2),", "&amp;'Matriz de Riesgos'!$A$14,"")&amp;IF(AND('Matriz de Riesgos'!$F$15=5,'Matriz de Riesgos'!$G$15=2),", "&amp;'Matriz de Riesgos'!$A$15,"")&amp;IF(AND('Matriz de Riesgos'!$F$16=5,'Matriz de Riesgos'!$G$16=2),", "&amp;'Matriz de Riesgos'!$A$16,"")&amp;IF(AND('Matriz de Riesgos'!$F$17=5,'Matriz de Riesgos'!$G$17=2),", "&amp;'Matriz de Riesgos'!$A$17,"")&amp;IF(AND('Matriz de Riesgos'!$F$18=5,'Matriz de Riesgos'!$G$18=2),", "&amp;'Matriz de Riesgos'!$A$18,"")&amp;IF(AND('Matriz de Riesgos'!$F$19=5,'Matriz de Riesgos'!$G$19=2),", "&amp;'Matriz de Riesgos'!$A$19,"")&amp;IF(AND('Matriz de Riesgos'!$F$20=5,'Matriz de Riesgos'!$G$20=2),", "&amp;'Matriz de Riesgos'!$A$20,""),3,100)</f>
        <v/>
      </c>
      <c r="E5" s="32" t="str">
        <f>MID(IF(AND('Matriz de Riesgos'!$F$6=5,'Matriz de Riesgos'!$G$6=3),", "&amp;'Matriz de Riesgos'!$A$6,"")&amp;IF(AND('Matriz de Riesgos'!$F$7=5,'Matriz de Riesgos'!$G$7=3),", "&amp;'Matriz de Riesgos'!$A$7,"")&amp;IF(AND('Matriz de Riesgos'!$F$8=5,'Matriz de Riesgos'!$G$8=3),", "&amp;'Matriz de Riesgos'!$A$8,"")&amp;IF(AND('Matriz de Riesgos'!$F$9=5,'Matriz de Riesgos'!$G$9=3),", "&amp;'Matriz de Riesgos'!$A$9,"")&amp;IF(AND('Matriz de Riesgos'!$F$10=5,'Matriz de Riesgos'!$G$10=3),", "&amp;'Matriz de Riesgos'!$A$10,"")&amp;IF(AND('Matriz de Riesgos'!$F$11=5,'Matriz de Riesgos'!$G$11=3),", "&amp;'Matriz de Riesgos'!$A$11,"")&amp;IF(AND('Matriz de Riesgos'!$F$12=5,'Matriz de Riesgos'!$G$12=3),", "&amp;'Matriz de Riesgos'!$A$12,"")&amp;IF(AND('Matriz de Riesgos'!$F$13=5,'Matriz de Riesgos'!$G$13=3),", "&amp;'Matriz de Riesgos'!$A$13,"")&amp;IF(AND('Matriz de Riesgos'!$F$14=5,'Matriz de Riesgos'!$G$14=3),", "&amp;'Matriz de Riesgos'!$A$14,"")&amp;IF(AND('Matriz de Riesgos'!$F$15=5,'Matriz de Riesgos'!$G$15=3),", "&amp;'Matriz de Riesgos'!$A$15,"")&amp;IF(AND('Matriz de Riesgos'!$F$16=5,'Matriz de Riesgos'!$G$16=3),", "&amp;'Matriz de Riesgos'!$A$16,"")&amp;IF(AND('Matriz de Riesgos'!$F$17=5,'Matriz de Riesgos'!$G$17=3),", "&amp;'Matriz de Riesgos'!$A$17,"")&amp;IF(AND('Matriz de Riesgos'!$F$18=5,'Matriz de Riesgos'!$G$18=3),", "&amp;'Matriz de Riesgos'!$A$18,"")&amp;IF(AND('Matriz de Riesgos'!$F$19=5,'Matriz de Riesgos'!$G$19=3),", "&amp;'Matriz de Riesgos'!$A$19,"")&amp;IF(AND('Matriz de Riesgos'!$F$20=5,'Matriz de Riesgos'!$G$20=3),", "&amp;'Matriz de Riesgos'!$A$20,""),3,100)</f>
        <v/>
      </c>
      <c r="F5" s="32" t="str">
        <f>MID(IF(AND('Matriz de Riesgos'!$F$6=5,'Matriz de Riesgos'!$G$6=4),", "&amp;'Matriz de Riesgos'!$A$6,"")&amp;IF(AND('Matriz de Riesgos'!$F$7=5,'Matriz de Riesgos'!$G$7=4),", "&amp;'Matriz de Riesgos'!$A$7,"")&amp;IF(AND('Matriz de Riesgos'!$F$8=5,'Matriz de Riesgos'!$G$8=4),", "&amp;'Matriz de Riesgos'!$A$8,"")&amp;IF(AND('Matriz de Riesgos'!$F$9=5,'Matriz de Riesgos'!$G$9=4),", "&amp;'Matriz de Riesgos'!$A$9,"")&amp;IF(AND('Matriz de Riesgos'!$F$10=5,'Matriz de Riesgos'!$G$10=4),", "&amp;'Matriz de Riesgos'!$A$10,"")&amp;IF(AND('Matriz de Riesgos'!$F$11=5,'Matriz de Riesgos'!$G$11=4),", "&amp;'Matriz de Riesgos'!$A$11,"")&amp;IF(AND('Matriz de Riesgos'!$F$12=5,'Matriz de Riesgos'!$G$12=4),", "&amp;'Matriz de Riesgos'!$A$12,"")&amp;IF(AND('Matriz de Riesgos'!$F$13=5,'Matriz de Riesgos'!$G$13=4),", "&amp;'Matriz de Riesgos'!$A$13,"")&amp;IF(AND('Matriz de Riesgos'!$F$14=5,'Matriz de Riesgos'!$G$14=4),", "&amp;'Matriz de Riesgos'!$A$14,"")&amp;IF(AND('Matriz de Riesgos'!$F$15=5,'Matriz de Riesgos'!$G$15=4),", "&amp;'Matriz de Riesgos'!$A$15,"")&amp;IF(AND('Matriz de Riesgos'!$F$16=5,'Matriz de Riesgos'!$G$16=4),", "&amp;'Matriz de Riesgos'!$A$16,"")&amp;IF(AND('Matriz de Riesgos'!$F$17=5,'Matriz de Riesgos'!$G$17=4),", "&amp;'Matriz de Riesgos'!$A$17,"")&amp;IF(AND('Matriz de Riesgos'!$F$18=5,'Matriz de Riesgos'!$G$18=4),", "&amp;'Matriz de Riesgos'!$A$18,"")&amp;IF(AND('Matriz de Riesgos'!$F$19=5,'Matriz de Riesgos'!$G$19=4),", "&amp;'Matriz de Riesgos'!$A$19,"")&amp;IF(AND('Matriz de Riesgos'!$F$20=5,'Matriz de Riesgos'!$G$20=4),", "&amp;'Matriz de Riesgos'!$A$20,""),3,100)</f>
        <v/>
      </c>
      <c r="G5" s="32" t="str">
        <f>MID(IF(AND('Matriz de Riesgos'!$F$6=5,'Matriz de Riesgos'!$G$6=5),", "&amp;'Matriz de Riesgos'!$A$6,"")&amp;IF(AND('Matriz de Riesgos'!$F$7=5,'Matriz de Riesgos'!$G$7=5),", "&amp;'Matriz de Riesgos'!$A$7,"")&amp;IF(AND('Matriz de Riesgos'!$F$8=5,'Matriz de Riesgos'!$G$8=5),", "&amp;'Matriz de Riesgos'!$A$8,"")&amp;IF(AND('Matriz de Riesgos'!$F$9=5,'Matriz de Riesgos'!$G$9=5),", "&amp;'Matriz de Riesgos'!$A$9,"")&amp;IF(AND('Matriz de Riesgos'!$F$10=5,'Matriz de Riesgos'!$G$10=5),", "&amp;'Matriz de Riesgos'!$A$10,"")&amp;IF(AND('Matriz de Riesgos'!$F$11=5,'Matriz de Riesgos'!$G$11=5),", "&amp;'Matriz de Riesgos'!$A$11,"")&amp;IF(AND('Matriz de Riesgos'!$F$12=5,'Matriz de Riesgos'!$G$12=5),", "&amp;'Matriz de Riesgos'!$A$12,"")&amp;IF(AND('Matriz de Riesgos'!$F$13=5,'Matriz de Riesgos'!$G$13=5),", "&amp;'Matriz de Riesgos'!$A$13,"")&amp;IF(AND('Matriz de Riesgos'!$F$14=5,'Matriz de Riesgos'!$G$14=5),", "&amp;'Matriz de Riesgos'!$A$14,"")&amp;IF(AND('Matriz de Riesgos'!$F$15=5,'Matriz de Riesgos'!$G$15=5),", "&amp;'Matriz de Riesgos'!$A$15,"")&amp;IF(AND('Matriz de Riesgos'!$F$16=5,'Matriz de Riesgos'!$G$16=5),", "&amp;'Matriz de Riesgos'!$A$16,"")&amp;IF(AND('Matriz de Riesgos'!$F$17=5,'Matriz de Riesgos'!$G$17=5),", "&amp;'Matriz de Riesgos'!$A$17,"")&amp;IF(AND('Matriz de Riesgos'!$F$18=5,'Matriz de Riesgos'!$G$18=5),", "&amp;'Matriz de Riesgos'!$A$18,"")&amp;IF(AND('Matriz de Riesgos'!$F$19=5,'Matriz de Riesgos'!$G$19=5),", "&amp;'Matriz de Riesgos'!$A$19,"")&amp;IF(AND('Matriz de Riesgos'!$F$20=5,'Matriz de Riesgos'!$G$20=5),", "&amp;'Matriz de Riesgos'!$A$20,""),3,100)</f>
        <v/>
      </c>
    </row>
    <row r="6" spans="1:8" ht="61.5" customHeight="1">
      <c r="A6" s="29"/>
      <c r="B6" s="28" t="s">
        <v>160</v>
      </c>
      <c r="C6" s="33" t="str">
        <f>MID(IF(AND('Matriz de Riesgos'!$F$6=4,'Matriz de Riesgos'!$G$6=1),", "&amp;'Matriz de Riesgos'!$A$6,"")&amp;IF(AND('Matriz de Riesgos'!$F$7=4,'Matriz de Riesgos'!$G$7=1),", "&amp;'Matriz de Riesgos'!$A$7,"")&amp;IF(AND('Matriz de Riesgos'!$F$8=4,'Matriz de Riesgos'!$G$8=1),", "&amp;'Matriz de Riesgos'!$A$8,"")&amp;IF(AND('Matriz de Riesgos'!$F$9=4,'Matriz de Riesgos'!$G$9=1),", "&amp;'Matriz de Riesgos'!$A$9,"")&amp;IF(AND('Matriz de Riesgos'!$F$10=4,'Matriz de Riesgos'!$G$10=1),", "&amp;'Matriz de Riesgos'!$A$10,"")&amp;IF(AND('Matriz de Riesgos'!$F$11=4,'Matriz de Riesgos'!$G$11=1),", "&amp;'Matriz de Riesgos'!$A$11,"")&amp;IF(AND('Matriz de Riesgos'!$F$12=4,'Matriz de Riesgos'!$G$12=1),", "&amp;'Matriz de Riesgos'!$A$12,"")&amp;IF(AND('Matriz de Riesgos'!$F$13=4,'Matriz de Riesgos'!$G$13=1),", "&amp;'Matriz de Riesgos'!$A$13,"")&amp;IF(AND('Matriz de Riesgos'!$F$14=4,'Matriz de Riesgos'!$G$14=1),", "&amp;'Matriz de Riesgos'!$A$14,"")&amp;IF(AND('Matriz de Riesgos'!$F$15=4,'Matriz de Riesgos'!$G$15=1),", "&amp;'Matriz de Riesgos'!$A$15,"")&amp;IF(AND('Matriz de Riesgos'!$F$16=4,'Matriz de Riesgos'!$G$16=1),", "&amp;'Matriz de Riesgos'!$A$16,"")&amp;IF(AND('Matriz de Riesgos'!$F$17=4,'Matriz de Riesgos'!$G$17=1),", "&amp;'Matriz de Riesgos'!$A$17,"")&amp;IF(AND('Matriz de Riesgos'!$F$18=4,'Matriz de Riesgos'!$G$18=1),", "&amp;'Matriz de Riesgos'!$A$18,"")&amp;IF(AND('Matriz de Riesgos'!$F$19=4,'Matriz de Riesgos'!$G$19=1),", "&amp;'Matriz de Riesgos'!$A$19,"")&amp;IF(AND('Matriz de Riesgos'!$F$20=4,'Matriz de Riesgos'!$G$20=1),", "&amp;'Matriz de Riesgos'!$A$20,""),3,100)</f>
        <v/>
      </c>
      <c r="D6" s="30" t="str">
        <f>MID(IF(AND('Matriz de Riesgos'!$F$6=4,'Matriz de Riesgos'!$G$6=2),", "&amp;'Matriz de Riesgos'!$A$6,"")&amp;IF(AND('Matriz de Riesgos'!$F$7=4,'Matriz de Riesgos'!$G$7=2),", "&amp;'Matriz de Riesgos'!$A$7,"")&amp;IF(AND('Matriz de Riesgos'!$F$8=4,'Matriz de Riesgos'!$G$8=2),", "&amp;'Matriz de Riesgos'!$A$8,"")&amp;IF(AND('Matriz de Riesgos'!$F$9=4,'Matriz de Riesgos'!$G$9=2),", "&amp;'Matriz de Riesgos'!$A$9,"")&amp;IF(AND('Matriz de Riesgos'!$F$10=4,'Matriz de Riesgos'!$G$10=2),", "&amp;'Matriz de Riesgos'!$A$10,"")&amp;IF(AND('Matriz de Riesgos'!$F$11=4,'Matriz de Riesgos'!$G$11=2),", "&amp;'Matriz de Riesgos'!$A$11,"")&amp;IF(AND('Matriz de Riesgos'!$F$12=4,'Matriz de Riesgos'!$G$12=2),", "&amp;'Matriz de Riesgos'!$A$12,"")&amp;IF(AND('Matriz de Riesgos'!$F$13=4,'Matriz de Riesgos'!$G$13=2),", "&amp;'Matriz de Riesgos'!$A$13,"")&amp;IF(AND('Matriz de Riesgos'!$F$14=4,'Matriz de Riesgos'!$G$14=2),", "&amp;'Matriz de Riesgos'!$A$14,"")&amp;IF(AND('Matriz de Riesgos'!$F$15=4,'Matriz de Riesgos'!$G$15=2),", "&amp;'Matriz de Riesgos'!$A$15,"")&amp;IF(AND('Matriz de Riesgos'!$F$16=4,'Matriz de Riesgos'!$G$16=2),", "&amp;'Matriz de Riesgos'!$A$16,"")&amp;IF(AND('Matriz de Riesgos'!$F$17=4,'Matriz de Riesgos'!$G$17=2),", "&amp;'Matriz de Riesgos'!$A$17,"")&amp;IF(AND('Matriz de Riesgos'!$F$18=4,'Matriz de Riesgos'!$G$18=2),", "&amp;'Matriz de Riesgos'!$A$18,"")&amp;IF(AND('Matriz de Riesgos'!$F$19=4,'Matriz de Riesgos'!$G$19=2),", "&amp;'Matriz de Riesgos'!$A$19,"")&amp;IF(AND('Matriz de Riesgos'!$F$20=4,'Matriz de Riesgos'!$G$20=2),", "&amp;'Matriz de Riesgos'!$A$20,""),3,100)</f>
        <v/>
      </c>
      <c r="E6" s="31" t="str">
        <f>MID(IF(AND('Matriz de Riesgos'!$F$6=4,'Matriz de Riesgos'!$G$6=3),", "&amp;'Matriz de Riesgos'!$A$6,"")&amp;IF(AND('Matriz de Riesgos'!$F$7=4,'Matriz de Riesgos'!$G$7=3),", "&amp;'Matriz de Riesgos'!$A$7,"")&amp;IF(AND('Matriz de Riesgos'!$F$8=4,'Matriz de Riesgos'!$G$8=3),", "&amp;'Matriz de Riesgos'!$A$8,"")&amp;IF(AND('Matriz de Riesgos'!$F$9=4,'Matriz de Riesgos'!$G$9=3),", "&amp;'Matriz de Riesgos'!$A$9,"")&amp;IF(AND('Matriz de Riesgos'!$F$10=4,'Matriz de Riesgos'!$G$10=3),", "&amp;'Matriz de Riesgos'!$A$10,"")&amp;IF(AND('Matriz de Riesgos'!$F$11=4,'Matriz de Riesgos'!$G$11=3),", "&amp;'Matriz de Riesgos'!$A$11,"")&amp;IF(AND('Matriz de Riesgos'!$F$12=4,'Matriz de Riesgos'!$G$12=3),", "&amp;'Matriz de Riesgos'!$A$12,"")&amp;IF(AND('Matriz de Riesgos'!$F$13=4,'Matriz de Riesgos'!$G$13=3),", "&amp;'Matriz de Riesgos'!$A$13,"")&amp;IF(AND('Matriz de Riesgos'!$F$14=4,'Matriz de Riesgos'!$G$14=3),", "&amp;'Matriz de Riesgos'!$A$14,"")&amp;IF(AND('Matriz de Riesgos'!$F$15=4,'Matriz de Riesgos'!$G$15=3),", "&amp;'Matriz de Riesgos'!$A$15,"")&amp;IF(AND('Matriz de Riesgos'!$F$16=4,'Matriz de Riesgos'!$G$16=3),", "&amp;'Matriz de Riesgos'!$A$16,"")&amp;IF(AND('Matriz de Riesgos'!$F$17=4,'Matriz de Riesgos'!$G$17=3),", "&amp;'Matriz de Riesgos'!$A$17,"")&amp;IF(AND('Matriz de Riesgos'!$F$18=4,'Matriz de Riesgos'!$G$18=3),", "&amp;'Matriz de Riesgos'!$A$18,"")&amp;IF(AND('Matriz de Riesgos'!$F$19=4,'Matriz de Riesgos'!$G$19=3),", "&amp;'Matriz de Riesgos'!$A$19,"")&amp;IF(AND('Matriz de Riesgos'!$F$20=4,'Matriz de Riesgos'!$G$20=3),", "&amp;'Matriz de Riesgos'!$A$20,""),3,100)</f>
        <v>10</v>
      </c>
      <c r="F6" s="32" t="str">
        <f>MID(IF(AND('Matriz de Riesgos'!$F$6=4,'Matriz de Riesgos'!$G$6=4),", "&amp;'Matriz de Riesgos'!$A$6,"")&amp;IF(AND('Matriz de Riesgos'!$F$7=4,'Matriz de Riesgos'!$G$7=4),", "&amp;'Matriz de Riesgos'!$A$7,"")&amp;IF(AND('Matriz de Riesgos'!$F$8=4,'Matriz de Riesgos'!$G$8=4),", "&amp;'Matriz de Riesgos'!$A$8,"")&amp;IF(AND('Matriz de Riesgos'!$F$9=4,'Matriz de Riesgos'!$G$9=4),", "&amp;'Matriz de Riesgos'!$A$9,"")&amp;IF(AND('Matriz de Riesgos'!$F$10=4,'Matriz de Riesgos'!$G$10=4),", "&amp;'Matriz de Riesgos'!$A$10,"")&amp;IF(AND('Matriz de Riesgos'!$F$11=4,'Matriz de Riesgos'!$G$11=4),", "&amp;'Matriz de Riesgos'!$A$11,"")&amp;IF(AND('Matriz de Riesgos'!$F$12=4,'Matriz de Riesgos'!$G$12=4),", "&amp;'Matriz de Riesgos'!$A$12,"")&amp;IF(AND('Matriz de Riesgos'!$F$13=4,'Matriz de Riesgos'!$G$13=4),", "&amp;'Matriz de Riesgos'!$A$13,"")&amp;IF(AND('Matriz de Riesgos'!$F$14=4,'Matriz de Riesgos'!$G$14=4),", "&amp;'Matriz de Riesgos'!$A$14,"")&amp;IF(AND('Matriz de Riesgos'!$F$15=4,'Matriz de Riesgos'!$G$15=4),", "&amp;'Matriz de Riesgos'!$A$15,"")&amp;IF(AND('Matriz de Riesgos'!$F$16=4,'Matriz de Riesgos'!$G$16=4),", "&amp;'Matriz de Riesgos'!$A$16,"")&amp;IF(AND('Matriz de Riesgos'!$F$17=4,'Matriz de Riesgos'!$G$17=4),", "&amp;'Matriz de Riesgos'!$A$17,"")&amp;IF(AND('Matriz de Riesgos'!$F$18=4,'Matriz de Riesgos'!$G$18=4),", "&amp;'Matriz de Riesgos'!$A$18,"")&amp;IF(AND('Matriz de Riesgos'!$F$19=4,'Matriz de Riesgos'!$G$19=4),", "&amp;'Matriz de Riesgos'!$A$19,"")&amp;IF(AND('Matriz de Riesgos'!$F$20=4,'Matriz de Riesgos'!$G$20=4),", "&amp;'Matriz de Riesgos'!$A$20,""),3,100)</f>
        <v>7</v>
      </c>
      <c r="G6" s="32" t="str">
        <f>MID(IF(AND('Matriz de Riesgos'!$F$6=4,'Matriz de Riesgos'!$G$6=5),", "&amp;'Matriz de Riesgos'!$A$6,"")&amp;IF(AND('Matriz de Riesgos'!$F$7=4,'Matriz de Riesgos'!$G$7=5),", "&amp;'Matriz de Riesgos'!$A$7,"")&amp;IF(AND('Matriz de Riesgos'!$F$8=4,'Matriz de Riesgos'!$G$8=5),", "&amp;'Matriz de Riesgos'!$A$8,"")&amp;IF(AND('Matriz de Riesgos'!$F$9=4,'Matriz de Riesgos'!$G$9=5),", "&amp;'Matriz de Riesgos'!$A$9,"")&amp;IF(AND('Matriz de Riesgos'!$F$10=4,'Matriz de Riesgos'!$G$10=5),", "&amp;'Matriz de Riesgos'!$A$10,"")&amp;IF(AND('Matriz de Riesgos'!$F$11=4,'Matriz de Riesgos'!$G$11=5),", "&amp;'Matriz de Riesgos'!$A$11,"")&amp;IF(AND('Matriz de Riesgos'!$F$12=4,'Matriz de Riesgos'!$G$12=5),", "&amp;'Matriz de Riesgos'!$A$12,"")&amp;IF(AND('Matriz de Riesgos'!$F$13=4,'Matriz de Riesgos'!$G$13=5),", "&amp;'Matriz de Riesgos'!$A$13,"")&amp;IF(AND('Matriz de Riesgos'!$F$14=4,'Matriz de Riesgos'!$G$14=5),", "&amp;'Matriz de Riesgos'!$A$14,"")&amp;IF(AND('Matriz de Riesgos'!$F$15=4,'Matriz de Riesgos'!$G$15=5),", "&amp;'Matriz de Riesgos'!$A$15,"")&amp;IF(AND('Matriz de Riesgos'!$F$16=4,'Matriz de Riesgos'!$G$16=5),", "&amp;'Matriz de Riesgos'!$A$16,"")&amp;IF(AND('Matriz de Riesgos'!$F$17=4,'Matriz de Riesgos'!$G$17=5),", "&amp;'Matriz de Riesgos'!$A$17,"")&amp;IF(AND('Matriz de Riesgos'!$F$18=4,'Matriz de Riesgos'!$G$18=5),", "&amp;'Matriz de Riesgos'!$A$18,"")&amp;IF(AND('Matriz de Riesgos'!$F$19=4,'Matriz de Riesgos'!$G$19=5),", "&amp;'Matriz de Riesgos'!$A$19,"")&amp;IF(AND('Matriz de Riesgos'!$F$20=4,'Matriz de Riesgos'!$G$20=5),", "&amp;'Matriz de Riesgos'!$A$20,""),3,100)</f>
        <v>1, 14</v>
      </c>
    </row>
    <row r="7" spans="1:8" ht="61.5" customHeight="1">
      <c r="A7" s="29"/>
      <c r="B7" s="28" t="s">
        <v>161</v>
      </c>
      <c r="C7" s="33" t="str">
        <f>MID(IF(AND('Matriz de Riesgos'!$F$6=3,'Matriz de Riesgos'!$G$6=1),", "&amp;'Matriz de Riesgos'!$A$6,"")&amp;IF(AND('Matriz de Riesgos'!$F$7=3,'Matriz de Riesgos'!$G$7=1),", "&amp;'Matriz de Riesgos'!$A$7,"")&amp;IF(AND('Matriz de Riesgos'!$F$8=3,'Matriz de Riesgos'!$G$8=1),", "&amp;'Matriz de Riesgos'!$A$8,"")&amp;IF(AND('Matriz de Riesgos'!$F$9=3,'Matriz de Riesgos'!$G$9=1),", "&amp;'Matriz de Riesgos'!$A$9,"")&amp;IF(AND('Matriz de Riesgos'!$F$10=3,'Matriz de Riesgos'!$G$10=1),", "&amp;'Matriz de Riesgos'!$A$10,"")&amp;IF(AND('Matriz de Riesgos'!$F$11=3,'Matriz de Riesgos'!$G$11=1),", "&amp;'Matriz de Riesgos'!$A$11,"")&amp;IF(AND('Matriz de Riesgos'!$F$12=3,'Matriz de Riesgos'!$G$12=1),", "&amp;'Matriz de Riesgos'!$A$12,"")&amp;IF(AND('Matriz de Riesgos'!$F$13=3,'Matriz de Riesgos'!$G$13=1),", "&amp;'Matriz de Riesgos'!$A$13,"")&amp;IF(AND('Matriz de Riesgos'!$F$14=3,'Matriz de Riesgos'!$G$14=1),", "&amp;'Matriz de Riesgos'!$A$14,"")&amp;IF(AND('Matriz de Riesgos'!$F$15=3,'Matriz de Riesgos'!$G$15=1),", "&amp;'Matriz de Riesgos'!$A$15,"")&amp;IF(AND('Matriz de Riesgos'!$F$16=3,'Matriz de Riesgos'!$G$16=1),", "&amp;'Matriz de Riesgos'!$A$16,"")&amp;IF(AND('Matriz de Riesgos'!$F$17=3,'Matriz de Riesgos'!$G$17=1),", "&amp;'Matriz de Riesgos'!$A$17,"")&amp;IF(AND('Matriz de Riesgos'!$F$18=3,'Matriz de Riesgos'!$G$18=1),", "&amp;'Matriz de Riesgos'!$A$18,"")&amp;IF(AND('Matriz de Riesgos'!$F$19=3,'Matriz de Riesgos'!$G$19=1),", "&amp;'Matriz de Riesgos'!$A$19,"")&amp;IF(AND('Matriz de Riesgos'!$F$20=3,'Matriz de Riesgos'!$G$20=1),", "&amp;'Matriz de Riesgos'!$A$20,""),3,100)</f>
        <v/>
      </c>
      <c r="D7" s="30" t="str">
        <f>MID(IF(AND('Matriz de Riesgos'!$F$6=3,'Matriz de Riesgos'!$G$6=2),", "&amp;'Matriz de Riesgos'!$A$6,"")&amp;IF(AND('Matriz de Riesgos'!$F$7=3,'Matriz de Riesgos'!$G$7=2),", "&amp;'Matriz de Riesgos'!$A$7,"")&amp;IF(AND('Matriz de Riesgos'!$F$8=3,'Matriz de Riesgos'!$G$8=2),", "&amp;'Matriz de Riesgos'!$A$8,"")&amp;IF(AND('Matriz de Riesgos'!$F$9=3,'Matriz de Riesgos'!$G$9=2),", "&amp;'Matriz de Riesgos'!$A$9,"")&amp;IF(AND('Matriz de Riesgos'!$F$10=3,'Matriz de Riesgos'!$G$10=2),", "&amp;'Matriz de Riesgos'!$A$10,"")&amp;IF(AND('Matriz de Riesgos'!$F$11=3,'Matriz de Riesgos'!$G$11=2),", "&amp;'Matriz de Riesgos'!$A$11,"")&amp;IF(AND('Matriz de Riesgos'!$F$12=3,'Matriz de Riesgos'!$G$12=2),", "&amp;'Matriz de Riesgos'!$A$12,"")&amp;IF(AND('Matriz de Riesgos'!$F$13=3,'Matriz de Riesgos'!$G$13=2),", "&amp;'Matriz de Riesgos'!$A$13,"")&amp;IF(AND('Matriz de Riesgos'!$F$14=3,'Matriz de Riesgos'!$G$14=2),", "&amp;'Matriz de Riesgos'!$A$14,"")&amp;IF(AND('Matriz de Riesgos'!$F$15=3,'Matriz de Riesgos'!$G$15=2),", "&amp;'Matriz de Riesgos'!$A$15,"")&amp;IF(AND('Matriz de Riesgos'!$F$16=3,'Matriz de Riesgos'!$G$16=2),", "&amp;'Matriz de Riesgos'!$A$16,"")&amp;IF(AND('Matriz de Riesgos'!$F$17=3,'Matriz de Riesgos'!$G$17=2),", "&amp;'Matriz de Riesgos'!$A$17,"")&amp;IF(AND('Matriz de Riesgos'!$F$18=3,'Matriz de Riesgos'!$G$18=2),", "&amp;'Matriz de Riesgos'!$A$18,"")&amp;IF(AND('Matriz de Riesgos'!$F$19=3,'Matriz de Riesgos'!$G$19=2),", "&amp;'Matriz de Riesgos'!$A$19,"")&amp;IF(AND('Matriz de Riesgos'!$F$20=3,'Matriz de Riesgos'!$G$20=2),", "&amp;'Matriz de Riesgos'!$A$20,""),3,100)</f>
        <v/>
      </c>
      <c r="E7" s="30" t="str">
        <f>MID(IF(AND('Matriz de Riesgos'!$F$6=3,'Matriz de Riesgos'!$G$6=3),", "&amp;'Matriz de Riesgos'!$A$6,"")&amp;IF(AND('Matriz de Riesgos'!$F$7=3,'Matriz de Riesgos'!$G$7=3),", "&amp;'Matriz de Riesgos'!$A$7,"")&amp;IF(AND('Matriz de Riesgos'!$F$8=3,'Matriz de Riesgos'!$G$8=3),", "&amp;'Matriz de Riesgos'!$A$8,"")&amp;IF(AND('Matriz de Riesgos'!$F$9=3,'Matriz de Riesgos'!$G$9=3),", "&amp;'Matriz de Riesgos'!$A$9,"")&amp;IF(AND('Matriz de Riesgos'!$F$10=3,'Matriz de Riesgos'!$G$10=3),", "&amp;'Matriz de Riesgos'!$A$10,"")&amp;IF(AND('Matriz de Riesgos'!$F$11=3,'Matriz de Riesgos'!$G$11=3),", "&amp;'Matriz de Riesgos'!$A$11,"")&amp;IF(AND('Matriz de Riesgos'!$F$12=3,'Matriz de Riesgos'!$G$12=3),", "&amp;'Matriz de Riesgos'!$A$12,"")&amp;IF(AND('Matriz de Riesgos'!$F$13=3,'Matriz de Riesgos'!$G$13=3),", "&amp;'Matriz de Riesgos'!$A$13,"")&amp;IF(AND('Matriz de Riesgos'!$F$14=3,'Matriz de Riesgos'!$G$14=3),", "&amp;'Matriz de Riesgos'!$A$14,"")&amp;IF(AND('Matriz de Riesgos'!$F$15=3,'Matriz de Riesgos'!$G$15=3),", "&amp;'Matriz de Riesgos'!$A$15,"")&amp;IF(AND('Matriz de Riesgos'!$F$16=3,'Matriz de Riesgos'!$G$16=3),", "&amp;'Matriz de Riesgos'!$A$16,"")&amp;IF(AND('Matriz de Riesgos'!$F$17=3,'Matriz de Riesgos'!$G$17=3),", "&amp;'Matriz de Riesgos'!$A$17,"")&amp;IF(AND('Matriz de Riesgos'!$F$18=3,'Matriz de Riesgos'!$G$18=3),", "&amp;'Matriz de Riesgos'!$A$18,"")&amp;IF(AND('Matriz de Riesgos'!$F$19=3,'Matriz de Riesgos'!$G$19=3),", "&amp;'Matriz de Riesgos'!$A$19,"")&amp;IF(AND('Matriz de Riesgos'!$F$20=3,'Matriz de Riesgos'!$G$20=3),", "&amp;'Matriz de Riesgos'!$A$20,""),3,100)</f>
        <v>5, 8, 12</v>
      </c>
      <c r="F7" s="31" t="str">
        <f>MID(IF(AND('Matriz de Riesgos'!$F$6=3,'Matriz de Riesgos'!$G$6=4),", "&amp;'Matriz de Riesgos'!$A$6,"")&amp;IF(AND('Matriz de Riesgos'!$F$7=3,'Matriz de Riesgos'!$G$7=4),", "&amp;'Matriz de Riesgos'!$A$7,"")&amp;IF(AND('Matriz de Riesgos'!$F$8=3,'Matriz de Riesgos'!$G$8=4),", "&amp;'Matriz de Riesgos'!$A$8,"")&amp;IF(AND('Matriz de Riesgos'!$F$9=3,'Matriz de Riesgos'!$G$9=4),", "&amp;'Matriz de Riesgos'!$A$9,"")&amp;IF(AND('Matriz de Riesgos'!$F$10=3,'Matriz de Riesgos'!$G$10=4),", "&amp;'Matriz de Riesgos'!$A$10,"")&amp;IF(AND('Matriz de Riesgos'!$F$11=3,'Matriz de Riesgos'!$G$11=4),", "&amp;'Matriz de Riesgos'!$A$11,"")&amp;IF(AND('Matriz de Riesgos'!$F$12=3,'Matriz de Riesgos'!$G$12=4),", "&amp;'Matriz de Riesgos'!$A$12,"")&amp;IF(AND('Matriz de Riesgos'!$F$13=3,'Matriz de Riesgos'!$G$13=4),", "&amp;'Matriz de Riesgos'!$A$13,"")&amp;IF(AND('Matriz de Riesgos'!$F$14=3,'Matriz de Riesgos'!$G$14=4),", "&amp;'Matriz de Riesgos'!$A$14,"")&amp;IF(AND('Matriz de Riesgos'!$F$15=3,'Matriz de Riesgos'!$G$15=4),", "&amp;'Matriz de Riesgos'!$A$15,"")&amp;IF(AND('Matriz de Riesgos'!$F$16=3,'Matriz de Riesgos'!$G$16=4),", "&amp;'Matriz de Riesgos'!$A$16,"")&amp;IF(AND('Matriz de Riesgos'!$F$17=3,'Matriz de Riesgos'!$G$17=4),", "&amp;'Matriz de Riesgos'!$A$17,"")&amp;IF(AND('Matriz de Riesgos'!$F$18=3,'Matriz de Riesgos'!$G$18=4),", "&amp;'Matriz de Riesgos'!$A$18,"")&amp;IF(AND('Matriz de Riesgos'!$F$19=3,'Matriz de Riesgos'!$G$19=4),", "&amp;'Matriz de Riesgos'!$A$19,"")&amp;IF(AND('Matriz de Riesgos'!$F$20=3,'Matriz de Riesgos'!$G$20=4),", "&amp;'Matriz de Riesgos'!$A$20,""),3,100)</f>
        <v>4, 9, 11, 15</v>
      </c>
      <c r="G7" s="32" t="str">
        <f>MID(IF(AND('Matriz de Riesgos'!$F$6=3,'Matriz de Riesgos'!$G$6=5),", "&amp;'Matriz de Riesgos'!$A$6,"")&amp;IF(AND('Matriz de Riesgos'!$F$7=3,'Matriz de Riesgos'!$G$7=5),", "&amp;'Matriz de Riesgos'!$A$7,"")&amp;IF(AND('Matriz de Riesgos'!$F$8=3,'Matriz de Riesgos'!$G$8=5),", "&amp;'Matriz de Riesgos'!$A$8,"")&amp;IF(AND('Matriz de Riesgos'!$F$9=3,'Matriz de Riesgos'!$G$9=5),", "&amp;'Matriz de Riesgos'!$A$9,"")&amp;IF(AND('Matriz de Riesgos'!$F$10=3,'Matriz de Riesgos'!$G$10=5),", "&amp;'Matriz de Riesgos'!$A$10,"")&amp;IF(AND('Matriz de Riesgos'!$F$11=3,'Matriz de Riesgos'!$G$11=5),", "&amp;'Matriz de Riesgos'!$A$11,"")&amp;IF(AND('Matriz de Riesgos'!$F$12=3,'Matriz de Riesgos'!$G$12=5),", "&amp;'Matriz de Riesgos'!$A$12,"")&amp;IF(AND('Matriz de Riesgos'!$F$13=3,'Matriz de Riesgos'!$G$13=5),", "&amp;'Matriz de Riesgos'!$A$13,"")&amp;IF(AND('Matriz de Riesgos'!$F$14=3,'Matriz de Riesgos'!$G$14=5),", "&amp;'Matriz de Riesgos'!$A$14,"")&amp;IF(AND('Matriz de Riesgos'!$F$15=3,'Matriz de Riesgos'!$G$15=5),", "&amp;'Matriz de Riesgos'!$A$15,"")&amp;IF(AND('Matriz de Riesgos'!$F$16=3,'Matriz de Riesgos'!$G$16=5),", "&amp;'Matriz de Riesgos'!$A$16,"")&amp;IF(AND('Matriz de Riesgos'!$F$17=3,'Matriz de Riesgos'!$G$17=5),", "&amp;'Matriz de Riesgos'!$A$17,"")&amp;IF(AND('Matriz de Riesgos'!$F$18=3,'Matriz de Riesgos'!$G$18=5),", "&amp;'Matriz de Riesgos'!$A$18,"")&amp;IF(AND('Matriz de Riesgos'!$F$19=3,'Matriz de Riesgos'!$G$19=5),", "&amp;'Matriz de Riesgos'!$A$19,"")&amp;IF(AND('Matriz de Riesgos'!$F$20=3,'Matriz de Riesgos'!$G$20=5),", "&amp;'Matriz de Riesgos'!$A$20,""),3,100)</f>
        <v>2, 3, 6</v>
      </c>
    </row>
    <row r="8" spans="1:8" ht="61.5" customHeight="1">
      <c r="A8" s="29"/>
      <c r="B8" s="28" t="s">
        <v>162</v>
      </c>
      <c r="C8" s="33" t="str">
        <f>MID(IF(AND('Matriz de Riesgos'!$F$6=2,'Matriz de Riesgos'!$G$6=1),", "&amp;'Matriz de Riesgos'!$A$6,"")&amp;IF(AND('Matriz de Riesgos'!$F$7=2,'Matriz de Riesgos'!$G$7=1),", "&amp;'Matriz de Riesgos'!$A$7,"")&amp;IF(AND('Matriz de Riesgos'!$F$8=2,'Matriz de Riesgos'!$G$8=1),", "&amp;'Matriz de Riesgos'!$A$8,"")&amp;IF(AND('Matriz de Riesgos'!$F$9=2,'Matriz de Riesgos'!$G$9=1),", "&amp;'Matriz de Riesgos'!$A$9,"")&amp;IF(AND('Matriz de Riesgos'!$F$10=2,'Matriz de Riesgos'!$G$10=1),", "&amp;'Matriz de Riesgos'!$A$10,"")&amp;IF(AND('Matriz de Riesgos'!$F$11=2,'Matriz de Riesgos'!$G$11=1),", "&amp;'Matriz de Riesgos'!$A$11,"")&amp;IF(AND('Matriz de Riesgos'!$F$12=2,'Matriz de Riesgos'!$G$12=1),", "&amp;'Matriz de Riesgos'!$A$12,"")&amp;IF(AND('Matriz de Riesgos'!$F$13=2,'Matriz de Riesgos'!$G$13=1),", "&amp;'Matriz de Riesgos'!$A$13,"")&amp;IF(AND('Matriz de Riesgos'!$F$14=2,'Matriz de Riesgos'!$G$14=1),", "&amp;'Matriz de Riesgos'!$A$14,"")&amp;IF(AND('Matriz de Riesgos'!$F$15=2,'Matriz de Riesgos'!$G$15=1),", "&amp;'Matriz de Riesgos'!$A$15,"")&amp;IF(AND('Matriz de Riesgos'!$F$16=2,'Matriz de Riesgos'!$G$16=1),", "&amp;'Matriz de Riesgos'!$A$16,"")&amp;IF(AND('Matriz de Riesgos'!$F$17=2,'Matriz de Riesgos'!$G$17=1),", "&amp;'Matriz de Riesgos'!$A$17,"")&amp;IF(AND('Matriz de Riesgos'!$F$18=2,'Matriz de Riesgos'!$G$18=1),", "&amp;'Matriz de Riesgos'!$A$18,"")&amp;IF(AND('Matriz de Riesgos'!$F$19=2,'Matriz de Riesgos'!$G$19=1),", "&amp;'Matriz de Riesgos'!$A$19,"")&amp;IF(AND('Matriz de Riesgos'!$F$20=2,'Matriz de Riesgos'!$G$20=1),", "&amp;'Matriz de Riesgos'!$A$20,""),3,100)</f>
        <v/>
      </c>
      <c r="D8" s="33" t="str">
        <f>MID(IF(AND('Matriz de Riesgos'!$F$6=2,'Matriz de Riesgos'!$G$6=2),", "&amp;'Matriz de Riesgos'!$A$6,"")&amp;IF(AND('Matriz de Riesgos'!$F$7=2,'Matriz de Riesgos'!$G$7=2),", "&amp;'Matriz de Riesgos'!$A$7,"")&amp;IF(AND('Matriz de Riesgos'!$F$8=2,'Matriz de Riesgos'!$G$8=2),", "&amp;'Matriz de Riesgos'!$A$8,"")&amp;IF(AND('Matriz de Riesgos'!$F$9=2,'Matriz de Riesgos'!$G$9=2),", "&amp;'Matriz de Riesgos'!$A$9,"")&amp;IF(AND('Matriz de Riesgos'!$F$10=2,'Matriz de Riesgos'!$G$10=2),", "&amp;'Matriz de Riesgos'!$A$10,"")&amp;IF(AND('Matriz de Riesgos'!$F$11=2,'Matriz de Riesgos'!$G$11=2),", "&amp;'Matriz de Riesgos'!$A$11,"")&amp;IF(AND('Matriz de Riesgos'!$F$12=2,'Matriz de Riesgos'!$G$12=2),", "&amp;'Matriz de Riesgos'!$A$12,"")&amp;IF(AND('Matriz de Riesgos'!$F$13=2,'Matriz de Riesgos'!$G$13=2),", "&amp;'Matriz de Riesgos'!$A$13,"")&amp;IF(AND('Matriz de Riesgos'!$F$14=2,'Matriz de Riesgos'!$G$14=2),", "&amp;'Matriz de Riesgos'!$A$14,"")&amp;IF(AND('Matriz de Riesgos'!$F$15=2,'Matriz de Riesgos'!$G$15=2),", "&amp;'Matriz de Riesgos'!$A$15,"")&amp;IF(AND('Matriz de Riesgos'!$F$16=2,'Matriz de Riesgos'!$G$16=2),", "&amp;'Matriz de Riesgos'!$A$16,"")&amp;IF(AND('Matriz de Riesgos'!$F$17=2,'Matriz de Riesgos'!$G$17=2),", "&amp;'Matriz de Riesgos'!$A$17,"")&amp;IF(AND('Matriz de Riesgos'!$F$18=2,'Matriz de Riesgos'!$G$18=2),", "&amp;'Matriz de Riesgos'!$A$18,"")&amp;IF(AND('Matriz de Riesgos'!$F$19=2,'Matriz de Riesgos'!$G$19=2),", "&amp;'Matriz de Riesgos'!$A$19,"")&amp;IF(AND('Matriz de Riesgos'!$F$20=2,'Matriz de Riesgos'!$G$20=2),", "&amp;'Matriz de Riesgos'!$A$20,""),3,100)</f>
        <v/>
      </c>
      <c r="E8" s="30" t="str">
        <f>MID(IF(AND('Matriz de Riesgos'!$F$6=2,'Matriz de Riesgos'!$G$6=3),", "&amp;'Matriz de Riesgos'!$A$6,"")&amp;IF(AND('Matriz de Riesgos'!$F$7=2,'Matriz de Riesgos'!$G$7=3),", "&amp;'Matriz de Riesgos'!$A$7,"")&amp;IF(AND('Matriz de Riesgos'!$F$8=2,'Matriz de Riesgos'!$G$8=3),", "&amp;'Matriz de Riesgos'!$A$8,"")&amp;IF(AND('Matriz de Riesgos'!$F$9=2,'Matriz de Riesgos'!$G$9=3),", "&amp;'Matriz de Riesgos'!$A$9,"")&amp;IF(AND('Matriz de Riesgos'!$F$10=2,'Matriz de Riesgos'!$G$10=3),", "&amp;'Matriz de Riesgos'!$A$10,"")&amp;IF(AND('Matriz de Riesgos'!$F$11=2,'Matriz de Riesgos'!$G$11=3),", "&amp;'Matriz de Riesgos'!$A$11,"")&amp;IF(AND('Matriz de Riesgos'!$F$12=2,'Matriz de Riesgos'!$G$12=3),", "&amp;'Matriz de Riesgos'!$A$12,"")&amp;IF(AND('Matriz de Riesgos'!$F$13=2,'Matriz de Riesgos'!$G$13=3),", "&amp;'Matriz de Riesgos'!$A$13,"")&amp;IF(AND('Matriz de Riesgos'!$F$14=2,'Matriz de Riesgos'!$G$14=3),", "&amp;'Matriz de Riesgos'!$A$14,"")&amp;IF(AND('Matriz de Riesgos'!$F$15=2,'Matriz de Riesgos'!$G$15=3),", "&amp;'Matriz de Riesgos'!$A$15,"")&amp;IF(AND('Matriz de Riesgos'!$F$16=2,'Matriz de Riesgos'!$G$16=3),", "&amp;'Matriz de Riesgos'!$A$16,"")&amp;IF(AND('Matriz de Riesgos'!$F$17=2,'Matriz de Riesgos'!$G$17=3),", "&amp;'Matriz de Riesgos'!$A$17,"")&amp;IF(AND('Matriz de Riesgos'!$F$18=2,'Matriz de Riesgos'!$G$18=3),", "&amp;'Matriz de Riesgos'!$A$18,"")&amp;IF(AND('Matriz de Riesgos'!$F$19=2,'Matriz de Riesgos'!$G$19=3),", "&amp;'Matriz de Riesgos'!$A$19,"")&amp;IF(AND('Matriz de Riesgos'!$F$20=2,'Matriz de Riesgos'!$G$20=3),", "&amp;'Matriz de Riesgos'!$A$20,""),3,100)</f>
        <v/>
      </c>
      <c r="F8" s="30" t="str">
        <f>MID(IF(AND('Matriz de Riesgos'!$F$6=2,'Matriz de Riesgos'!$G$6=4),", "&amp;'Matriz de Riesgos'!$A$6,"")&amp;IF(AND('Matriz de Riesgos'!$F$7=2,'Matriz de Riesgos'!$G$7=4),", "&amp;'Matriz de Riesgos'!$A$7,"")&amp;IF(AND('Matriz de Riesgos'!$F$8=2,'Matriz de Riesgos'!$G$8=4),", "&amp;'Matriz de Riesgos'!$A$8,"")&amp;IF(AND('Matriz de Riesgos'!$F$9=2,'Matriz de Riesgos'!$G$9=4),", "&amp;'Matriz de Riesgos'!$A$9,"")&amp;IF(AND('Matriz de Riesgos'!$F$10=2,'Matriz de Riesgos'!$G$10=4),", "&amp;'Matriz de Riesgos'!$A$10,"")&amp;IF(AND('Matriz de Riesgos'!$F$11=2,'Matriz de Riesgos'!$G$11=4),", "&amp;'Matriz de Riesgos'!$A$11,"")&amp;IF(AND('Matriz de Riesgos'!$F$12=2,'Matriz de Riesgos'!$G$12=4),", "&amp;'Matriz de Riesgos'!$A$12,"")&amp;IF(AND('Matriz de Riesgos'!$F$13=2,'Matriz de Riesgos'!$G$13=4),", "&amp;'Matriz de Riesgos'!$A$13,"")&amp;IF(AND('Matriz de Riesgos'!$F$14=2,'Matriz de Riesgos'!$G$14=4),", "&amp;'Matriz de Riesgos'!$A$14,"")&amp;IF(AND('Matriz de Riesgos'!$F$15=2,'Matriz de Riesgos'!$G$15=4),", "&amp;'Matriz de Riesgos'!$A$15,"")&amp;IF(AND('Matriz de Riesgos'!$F$16=2,'Matriz de Riesgos'!$G$16=4),", "&amp;'Matriz de Riesgos'!$A$16,"")&amp;IF(AND('Matriz de Riesgos'!$F$17=2,'Matriz de Riesgos'!$G$17=4),", "&amp;'Matriz de Riesgos'!$A$17,"")&amp;IF(AND('Matriz de Riesgos'!$F$18=2,'Matriz de Riesgos'!$G$18=4),", "&amp;'Matriz de Riesgos'!$A$18,"")&amp;IF(AND('Matriz de Riesgos'!$F$19=2,'Matriz de Riesgos'!$G$19=4),", "&amp;'Matriz de Riesgos'!$A$19,"")&amp;IF(AND('Matriz de Riesgos'!$F$20=2,'Matriz de Riesgos'!$G$20=4),", "&amp;'Matriz de Riesgos'!$A$20,""),3,100)</f>
        <v>13</v>
      </c>
      <c r="G8" s="31" t="str">
        <f>MID(IF(AND('Matriz de Riesgos'!$F$6=2,'Matriz de Riesgos'!$G$6=5),", "&amp;'Matriz de Riesgos'!$A$6,"")&amp;IF(AND('Matriz de Riesgos'!$F$7=2,'Matriz de Riesgos'!$G$7=5),", "&amp;'Matriz de Riesgos'!$A$7,"")&amp;IF(AND('Matriz de Riesgos'!$F$8=2,'Matriz de Riesgos'!$G$8=5),", "&amp;'Matriz de Riesgos'!$A$8,"")&amp;IF(AND('Matriz de Riesgos'!$F$9=2,'Matriz de Riesgos'!$G$9=5),", "&amp;'Matriz de Riesgos'!$A$9,"")&amp;IF(AND('Matriz de Riesgos'!$F$10=2,'Matriz de Riesgos'!$G$10=5),", "&amp;'Matriz de Riesgos'!$A$10,"")&amp;IF(AND('Matriz de Riesgos'!$F$11=2,'Matriz de Riesgos'!$G$11=5),", "&amp;'Matriz de Riesgos'!$A$11,"")&amp;IF(AND('Matriz de Riesgos'!$F$12=2,'Matriz de Riesgos'!$G$12=5),", "&amp;'Matriz de Riesgos'!$A$12,"")&amp;IF(AND('Matriz de Riesgos'!$F$13=2,'Matriz de Riesgos'!$G$13=5),", "&amp;'Matriz de Riesgos'!$A$13,"")&amp;IF(AND('Matriz de Riesgos'!$F$14=2,'Matriz de Riesgos'!$G$14=5),", "&amp;'Matriz de Riesgos'!$A$14,"")&amp;IF(AND('Matriz de Riesgos'!$F$15=2,'Matriz de Riesgos'!$G$15=5),", "&amp;'Matriz de Riesgos'!$A$15,"")&amp;IF(AND('Matriz de Riesgos'!$F$16=2,'Matriz de Riesgos'!$G$16=5),", "&amp;'Matriz de Riesgos'!$A$16,"")&amp;IF(AND('Matriz de Riesgos'!$F$17=2,'Matriz de Riesgos'!$G$17=5),", "&amp;'Matriz de Riesgos'!$A$17,"")&amp;IF(AND('Matriz de Riesgos'!$F$18=2,'Matriz de Riesgos'!$G$18=5),", "&amp;'Matriz de Riesgos'!$A$18,"")&amp;IF(AND('Matriz de Riesgos'!$F$19=2,'Matriz de Riesgos'!$G$19=5),", "&amp;'Matriz de Riesgos'!$A$19,"")&amp;IF(AND('Matriz de Riesgos'!$F$20=2,'Matriz de Riesgos'!$G$20=5),", "&amp;'Matriz de Riesgos'!$A$20,""),3,100)</f>
        <v/>
      </c>
    </row>
    <row r="9" spans="1:8" ht="61.5" customHeight="1">
      <c r="A9" s="29"/>
      <c r="B9" s="28" t="s">
        <v>163</v>
      </c>
      <c r="C9" s="33" t="str">
        <f>MID(IF(AND('Matriz de Riesgos'!$F$6=1,'Matriz de Riesgos'!$G$6=1),", "&amp;'Matriz de Riesgos'!$A$6,"")&amp;IF(AND('Matriz de Riesgos'!$F$7=1,'Matriz de Riesgos'!$G$7=1),", "&amp;'Matriz de Riesgos'!$A$7,"")&amp;IF(AND('Matriz de Riesgos'!$F$8=1,'Matriz de Riesgos'!$G$8=1),", "&amp;'Matriz de Riesgos'!$A$8,"")&amp;IF(AND('Matriz de Riesgos'!$F$9=1,'Matriz de Riesgos'!$G$9=1),", "&amp;'Matriz de Riesgos'!$A$9,"")&amp;IF(AND('Matriz de Riesgos'!$F$10=1,'Matriz de Riesgos'!$G$10=1),", "&amp;'Matriz de Riesgos'!$A$10,"")&amp;IF(AND('Matriz de Riesgos'!$F$11=1,'Matriz de Riesgos'!$G$11=1),", "&amp;'Matriz de Riesgos'!$A$11,"")&amp;IF(AND('Matriz de Riesgos'!$F$12=1,'Matriz de Riesgos'!$G$12=1),", "&amp;'Matriz de Riesgos'!$A$12,"")&amp;IF(AND('Matriz de Riesgos'!$F$13=1,'Matriz de Riesgos'!$G$13=1),", "&amp;'Matriz de Riesgos'!$A$13,"")&amp;IF(AND('Matriz de Riesgos'!$F$14=1,'Matriz de Riesgos'!$G$14=1),", "&amp;'Matriz de Riesgos'!$A$14,"")&amp;IF(AND('Matriz de Riesgos'!$F$15=1,'Matriz de Riesgos'!$G$15=1),", "&amp;'Matriz de Riesgos'!$A$15,"")&amp;IF(AND('Matriz de Riesgos'!$F$16=1,'Matriz de Riesgos'!$G$16=1),", "&amp;'Matriz de Riesgos'!$A$16,"")&amp;IF(AND('Matriz de Riesgos'!$F$17=1,'Matriz de Riesgos'!$G$17=1),", "&amp;'Matriz de Riesgos'!$A$17,"")&amp;IF(AND('Matriz de Riesgos'!$F$18=1,'Matriz de Riesgos'!$G$18=1),", "&amp;'Matriz de Riesgos'!$A$18,"")&amp;IF(AND('Matriz de Riesgos'!$F$19=1,'Matriz de Riesgos'!$G$19=1),", "&amp;'Matriz de Riesgos'!$A$19,"")&amp;IF(AND('Matriz de Riesgos'!$F$20=1,'Matriz de Riesgos'!$G$20=1),", "&amp;'Matriz de Riesgos'!$A$20,""),3,100)</f>
        <v/>
      </c>
      <c r="D9" s="33" t="str">
        <f>MID(IF(AND('Matriz de Riesgos'!$F$6=1,'Matriz de Riesgos'!$G$6=2),", "&amp;'Matriz de Riesgos'!$A$6,"")&amp;IF(AND('Matriz de Riesgos'!$F$7=1,'Matriz de Riesgos'!$G$7=2),", "&amp;'Matriz de Riesgos'!$A$7,"")&amp;IF(AND('Matriz de Riesgos'!$F$8=1,'Matriz de Riesgos'!$G$8=2),", "&amp;'Matriz de Riesgos'!$A$8,"")&amp;IF(AND('Matriz de Riesgos'!$F$9=1,'Matriz de Riesgos'!$G$9=2),", "&amp;'Matriz de Riesgos'!$A$9,"")&amp;IF(AND('Matriz de Riesgos'!$F$10=1,'Matriz de Riesgos'!$G$10=2),", "&amp;'Matriz de Riesgos'!$A$10,"")&amp;IF(AND('Matriz de Riesgos'!$F$11=1,'Matriz de Riesgos'!$G$11=2),", "&amp;'Matriz de Riesgos'!$A$11,"")&amp;IF(AND('Matriz de Riesgos'!$F$12=1,'Matriz de Riesgos'!$G$12=2),", "&amp;'Matriz de Riesgos'!$A$12,"")&amp;IF(AND('Matriz de Riesgos'!$F$13=1,'Matriz de Riesgos'!$G$13=2),", "&amp;'Matriz de Riesgos'!$A$13,"")&amp;IF(AND('Matriz de Riesgos'!$F$14=1,'Matriz de Riesgos'!$G$14=2),", "&amp;'Matriz de Riesgos'!$A$14,"")&amp;IF(AND('Matriz de Riesgos'!$F$15=1,'Matriz de Riesgos'!$G$15=2),", "&amp;'Matriz de Riesgos'!$A$15,"")&amp;IF(AND('Matriz de Riesgos'!$F$16=1,'Matriz de Riesgos'!$G$16=2),", "&amp;'Matriz de Riesgos'!$A$16,"")&amp;IF(AND('Matriz de Riesgos'!$F$17=1,'Matriz de Riesgos'!$G$17=2),", "&amp;'Matriz de Riesgos'!$A$17,"")&amp;IF(AND('Matriz de Riesgos'!$F$18=1,'Matriz de Riesgos'!$G$18=2),", "&amp;'Matriz de Riesgos'!$A$18,"")&amp;IF(AND('Matriz de Riesgos'!$F$19=1,'Matriz de Riesgos'!$G$19=2),", "&amp;'Matriz de Riesgos'!$A$19,"")&amp;IF(AND('Matriz de Riesgos'!$F$20=1,'Matriz de Riesgos'!$G$20=2),", "&amp;'Matriz de Riesgos'!$A$20,""),3,100)</f>
        <v/>
      </c>
      <c r="E9" s="33" t="str">
        <f>MID(IF(AND('Matriz de Riesgos'!$F$6=1,'Matriz de Riesgos'!$G$6=3),", "&amp;'Matriz de Riesgos'!$A$6,"")&amp;IF(AND('Matriz de Riesgos'!$F$7=1,'Matriz de Riesgos'!$G$7=3),", "&amp;'Matriz de Riesgos'!$A$7,"")&amp;IF(AND('Matriz de Riesgos'!$F$8=1,'Matriz de Riesgos'!$G$8=3),", "&amp;'Matriz de Riesgos'!$A$8,"")&amp;IF(AND('Matriz de Riesgos'!$F$9=1,'Matriz de Riesgos'!$G$9=3),", "&amp;'Matriz de Riesgos'!$A$9,"")&amp;IF(AND('Matriz de Riesgos'!$F$10=1,'Matriz de Riesgos'!$G$10=3),", "&amp;'Matriz de Riesgos'!$A$10,"")&amp;IF(AND('Matriz de Riesgos'!$F$11=1,'Matriz de Riesgos'!$G$11=3),", "&amp;'Matriz de Riesgos'!$A$11,"")&amp;IF(AND('Matriz de Riesgos'!$F$12=1,'Matriz de Riesgos'!$G$12=3),", "&amp;'Matriz de Riesgos'!$A$12,"")&amp;IF(AND('Matriz de Riesgos'!$F$13=1,'Matriz de Riesgos'!$G$13=3),", "&amp;'Matriz de Riesgos'!$A$13,"")&amp;IF(AND('Matriz de Riesgos'!$F$14=1,'Matriz de Riesgos'!$G$14=3),", "&amp;'Matriz de Riesgos'!$A$14,"")&amp;IF(AND('Matriz de Riesgos'!$F$15=1,'Matriz de Riesgos'!$G$15=3),", "&amp;'Matriz de Riesgos'!$A$15,"")&amp;IF(AND('Matriz de Riesgos'!$F$16=1,'Matriz de Riesgos'!$G$16=3),", "&amp;'Matriz de Riesgos'!$A$16,"")&amp;IF(AND('Matriz de Riesgos'!$F$17=1,'Matriz de Riesgos'!$G$17=3),", "&amp;'Matriz de Riesgos'!$A$17,"")&amp;IF(AND('Matriz de Riesgos'!$F$18=1,'Matriz de Riesgos'!$G$18=3),", "&amp;'Matriz de Riesgos'!$A$18,"")&amp;IF(AND('Matriz de Riesgos'!$F$19=1,'Matriz de Riesgos'!$G$19=3),", "&amp;'Matriz de Riesgos'!$A$19,"")&amp;IF(AND('Matriz de Riesgos'!$F$20=1,'Matriz de Riesgos'!$G$20=3),", "&amp;'Matriz de Riesgos'!$A$20,""),3,100)</f>
        <v/>
      </c>
      <c r="F9" s="33" t="str">
        <f>MID(IF(AND('Matriz de Riesgos'!$F$6=1,'Matriz de Riesgos'!$G$6=4),", "&amp;'Matriz de Riesgos'!$A$6,"")&amp;IF(AND('Matriz de Riesgos'!$F$7=1,'Matriz de Riesgos'!$G$7=4),", "&amp;'Matriz de Riesgos'!$A$7,"")&amp;IF(AND('Matriz de Riesgos'!$F$8=1,'Matriz de Riesgos'!$G$8=4),", "&amp;'Matriz de Riesgos'!$A$8,"")&amp;IF(AND('Matriz de Riesgos'!$F$9=1,'Matriz de Riesgos'!$G$9=4),", "&amp;'Matriz de Riesgos'!$A$9,"")&amp;IF(AND('Matriz de Riesgos'!$F$10=1,'Matriz de Riesgos'!$G$10=4),", "&amp;'Matriz de Riesgos'!$A$10,"")&amp;IF(AND('Matriz de Riesgos'!$F$11=1,'Matriz de Riesgos'!$G$11=4),", "&amp;'Matriz de Riesgos'!$A$11,"")&amp;IF(AND('Matriz de Riesgos'!$F$12=1,'Matriz de Riesgos'!$G$12=4),", "&amp;'Matriz de Riesgos'!$A$12,"")&amp;IF(AND('Matriz de Riesgos'!$F$13=1,'Matriz de Riesgos'!$G$13=4),", "&amp;'Matriz de Riesgos'!$A$13,"")&amp;IF(AND('Matriz de Riesgos'!$F$14=1,'Matriz de Riesgos'!$G$14=4),", "&amp;'Matriz de Riesgos'!$A$14,"")&amp;IF(AND('Matriz de Riesgos'!$F$15=1,'Matriz de Riesgos'!$G$15=4),", "&amp;'Matriz de Riesgos'!$A$15,"")&amp;IF(AND('Matriz de Riesgos'!$F$16=1,'Matriz de Riesgos'!$G$16=4),", "&amp;'Matriz de Riesgos'!$A$16,"")&amp;IF(AND('Matriz de Riesgos'!$F$17=1,'Matriz de Riesgos'!$G$17=4),", "&amp;'Matriz de Riesgos'!$A$17,"")&amp;IF(AND('Matriz de Riesgos'!$F$18=1,'Matriz de Riesgos'!$G$18=4),", "&amp;'Matriz de Riesgos'!$A$18,"")&amp;IF(AND('Matriz de Riesgos'!$F$19=1,'Matriz de Riesgos'!$G$19=4),", "&amp;'Matriz de Riesgos'!$A$19,"")&amp;IF(AND('Matriz de Riesgos'!$F$20=1,'Matriz de Riesgos'!$G$20=4),", "&amp;'Matriz de Riesgos'!$A$20,""),3,100)</f>
        <v/>
      </c>
      <c r="G9" s="30" t="str">
        <f>MID(IF(AND('Matriz de Riesgos'!$F$6=1,'Matriz de Riesgos'!$G$6=5),", "&amp;'Matriz de Riesgos'!$A$6,"")&amp;IF(AND('Matriz de Riesgos'!$F$7=1,'Matriz de Riesgos'!$G$7=5),", "&amp;'Matriz de Riesgos'!$A$7,"")&amp;IF(AND('Matriz de Riesgos'!$F$8=1,'Matriz de Riesgos'!$G$8=5),", "&amp;'Matriz de Riesgos'!$A$8,"")&amp;IF(AND('Matriz de Riesgos'!$F$9=1,'Matriz de Riesgos'!$G$9=5),", "&amp;'Matriz de Riesgos'!$A$9,"")&amp;IF(AND('Matriz de Riesgos'!$F$10=1,'Matriz de Riesgos'!$G$10=5),", "&amp;'Matriz de Riesgos'!$A$10,"")&amp;IF(AND('Matriz de Riesgos'!$F$11=1,'Matriz de Riesgos'!$G$11=5),", "&amp;'Matriz de Riesgos'!$A$11,"")&amp;IF(AND('Matriz de Riesgos'!$F$12=1,'Matriz de Riesgos'!$G$12=5),", "&amp;'Matriz de Riesgos'!$A$12,"")&amp;IF(AND('Matriz de Riesgos'!$F$13=1,'Matriz de Riesgos'!$G$13=5),", "&amp;'Matriz de Riesgos'!$A$13,"")&amp;IF(AND('Matriz de Riesgos'!$F$14=1,'Matriz de Riesgos'!$G$14=5),", "&amp;'Matriz de Riesgos'!$A$14,"")&amp;IF(AND('Matriz de Riesgos'!$F$15=1,'Matriz de Riesgos'!$G$15=5),", "&amp;'Matriz de Riesgos'!$A$15,"")&amp;IF(AND('Matriz de Riesgos'!$F$16=1,'Matriz de Riesgos'!$G$16=5),", "&amp;'Matriz de Riesgos'!$A$16,"")&amp;IF(AND('Matriz de Riesgos'!$F$17=1,'Matriz de Riesgos'!$G$17=5),", "&amp;'Matriz de Riesgos'!$A$17,"")&amp;IF(AND('Matriz de Riesgos'!$F$18=1,'Matriz de Riesgos'!$G$18=5),", "&amp;'Matriz de Riesgos'!$A$18,"")&amp;IF(AND('Matriz de Riesgos'!$F$19=1,'Matriz de Riesgos'!$G$19=5),", "&amp;'Matriz de Riesgos'!$A$19,"")&amp;IF(AND('Matriz de Riesgos'!$F$20=1,'Matriz de Riesgos'!$G$20=5),", "&amp;'Matriz de Riesgos'!$A$20,""),3,100)</f>
        <v/>
      </c>
    </row>
    <row r="10" spans="1:8" ht="21.75" customHeight="1">
      <c r="C10" s="34" t="s">
        <v>164</v>
      </c>
      <c r="D10" s="34"/>
      <c r="E10" s="34"/>
      <c r="F10" s="34"/>
      <c r="G10" s="34"/>
    </row>
    <row r="12" spans="1:8">
      <c r="B12" s="36" t="s">
        <v>10</v>
      </c>
      <c r="C12" s="36" t="s">
        <v>165</v>
      </c>
      <c r="D12" s="36" t="s">
        <v>166</v>
      </c>
    </row>
    <row r="13" spans="1:8">
      <c r="B13" s="37" t="s">
        <v>167</v>
      </c>
      <c r="C13" s="38" t="s">
        <v>168</v>
      </c>
      <c r="D13" s="38">
        <f>COUNTIF('Matriz de Riesgos'!$I$6:$I$20,B13)</f>
        <v>6</v>
      </c>
    </row>
    <row r="14" spans="1:8">
      <c r="B14" s="39" t="s">
        <v>169</v>
      </c>
      <c r="C14" s="38" t="s">
        <v>170</v>
      </c>
      <c r="D14" s="38">
        <f>COUNTIF('Matriz de Riesgos'!$I$6:$I$20,B14)</f>
        <v>5</v>
      </c>
    </row>
    <row r="15" spans="1:8">
      <c r="B15" s="40" t="s">
        <v>171</v>
      </c>
      <c r="C15" s="38" t="s">
        <v>172</v>
      </c>
      <c r="D15" s="38">
        <f>COUNTIF('Matriz de Riesgos'!$I$6:$I$20,B15)</f>
        <v>4</v>
      </c>
    </row>
    <row r="16" spans="1:8">
      <c r="B16" s="41" t="s">
        <v>173</v>
      </c>
      <c r="C16" s="38" t="s">
        <v>174</v>
      </c>
      <c r="D16" s="38">
        <f>COUNTIF('Matriz de Riesgos'!$I$6:$I$20,B16)</f>
        <v>0</v>
      </c>
    </row>
    <row r="19" spans="2:3">
      <c r="B19" s="36" t="s">
        <v>3</v>
      </c>
      <c r="C19" s="36" t="s">
        <v>175</v>
      </c>
    </row>
    <row r="20" spans="2:3">
      <c r="B20" s="38" t="str">
        <f>" R"&amp;'Matriz de Riesgos'!A6</f>
        <v xml:space="preserve"> R1</v>
      </c>
      <c r="C20" s="38">
        <f>'Matriz de Riesgos'!H6</f>
        <v>20</v>
      </c>
    </row>
    <row r="21" spans="2:3">
      <c r="B21" s="38" t="str">
        <f>" R"&amp;'Matriz de Riesgos'!A7</f>
        <v xml:space="preserve"> R2</v>
      </c>
      <c r="C21" s="38">
        <f>'Matriz de Riesgos'!H7</f>
        <v>15</v>
      </c>
    </row>
    <row r="22" spans="2:3">
      <c r="B22" s="38" t="str">
        <f>" R"&amp;'Matriz de Riesgos'!A8</f>
        <v xml:space="preserve"> R3</v>
      </c>
      <c r="C22" s="38">
        <f>'Matriz de Riesgos'!H8</f>
        <v>15</v>
      </c>
    </row>
    <row r="23" spans="2:3">
      <c r="B23" s="38" t="str">
        <f>" R"&amp;'Matriz de Riesgos'!A9</f>
        <v xml:space="preserve"> R4</v>
      </c>
      <c r="C23" s="38">
        <f>'Matriz de Riesgos'!H9</f>
        <v>12</v>
      </c>
    </row>
    <row r="24" spans="2:3">
      <c r="B24" s="38" t="str">
        <f>" R"&amp;'Matriz de Riesgos'!A10</f>
        <v xml:space="preserve"> R5</v>
      </c>
      <c r="C24" s="38">
        <f>'Matriz de Riesgos'!H10</f>
        <v>9</v>
      </c>
    </row>
    <row r="25" spans="2:3">
      <c r="B25" s="38" t="str">
        <f>" R"&amp;'Matriz de Riesgos'!A11</f>
        <v xml:space="preserve"> R6</v>
      </c>
      <c r="C25" s="38">
        <f>'Matriz de Riesgos'!H11</f>
        <v>15</v>
      </c>
    </row>
    <row r="26" spans="2:3">
      <c r="B26" s="38" t="str">
        <f>" R"&amp;'Matriz de Riesgos'!A12</f>
        <v xml:space="preserve"> R7</v>
      </c>
      <c r="C26" s="38">
        <f>'Matriz de Riesgos'!H12</f>
        <v>16</v>
      </c>
    </row>
    <row r="27" spans="2:3">
      <c r="B27" s="38" t="str">
        <f>" R"&amp;'Matriz de Riesgos'!A13</f>
        <v xml:space="preserve"> R8</v>
      </c>
      <c r="C27" s="38">
        <f>'Matriz de Riesgos'!H13</f>
        <v>9</v>
      </c>
    </row>
    <row r="28" spans="2:3">
      <c r="B28" s="38" t="str">
        <f>" R"&amp;'Matriz de Riesgos'!A14</f>
        <v xml:space="preserve"> R9</v>
      </c>
      <c r="C28" s="38">
        <f>'Matriz de Riesgos'!H14</f>
        <v>12</v>
      </c>
    </row>
    <row r="29" spans="2:3">
      <c r="B29" s="38" t="str">
        <f>" R"&amp;'Matriz de Riesgos'!A15</f>
        <v xml:space="preserve"> R10</v>
      </c>
      <c r="C29" s="38">
        <f>'Matriz de Riesgos'!H15</f>
        <v>12</v>
      </c>
    </row>
    <row r="30" spans="2:3">
      <c r="B30" s="38" t="str">
        <f>" R"&amp;'Matriz de Riesgos'!A16</f>
        <v xml:space="preserve"> R11</v>
      </c>
      <c r="C30" s="38">
        <f>'Matriz de Riesgos'!H16</f>
        <v>12</v>
      </c>
    </row>
    <row r="31" spans="2:3">
      <c r="B31" s="38" t="str">
        <f>" R"&amp;'Matriz de Riesgos'!A17</f>
        <v xml:space="preserve"> R12</v>
      </c>
      <c r="C31" s="38">
        <f>'Matriz de Riesgos'!H17</f>
        <v>9</v>
      </c>
    </row>
    <row r="32" spans="2:3">
      <c r="B32" s="38" t="str">
        <f>" R"&amp;'Matriz de Riesgos'!A18</f>
        <v xml:space="preserve"> R13</v>
      </c>
      <c r="C32" s="38">
        <f>'Matriz de Riesgos'!H18</f>
        <v>8</v>
      </c>
    </row>
    <row r="33" spans="2:3">
      <c r="B33" s="38" t="str">
        <f>" R"&amp;'Matriz de Riesgos'!A19</f>
        <v xml:space="preserve"> R14</v>
      </c>
      <c r="C33" s="38">
        <f>'Matriz de Riesgos'!H19</f>
        <v>20</v>
      </c>
    </row>
    <row r="34" spans="2:3">
      <c r="B34" s="38" t="str">
        <f>" R"&amp;'Matriz de Riesgos'!A20</f>
        <v xml:space="preserve"> R15</v>
      </c>
      <c r="C34" s="38">
        <f>'Matriz de Riesgos'!H20</f>
        <v>12</v>
      </c>
    </row>
  </sheetData>
  <mergeCells count="4">
    <mergeCell ref="A1:H1"/>
    <mergeCell ref="A2:H2"/>
    <mergeCell ref="A5:A9"/>
    <mergeCell ref="C10:G10"/>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zoomScaleNormal="100" workbookViewId="0">
      <selection activeCell="G19" sqref="G19"/>
    </sheetView>
  </sheetViews>
  <sheetFormatPr baseColWidth="10" defaultColWidth="8.75" defaultRowHeight="15"/>
  <cols>
    <col min="1" max="1" width="14" style="2" customWidth="1"/>
    <col min="2" max="2" width="18" style="2" customWidth="1"/>
    <col min="3" max="3" width="36" style="2" customWidth="1"/>
    <col min="4" max="4" width="5" style="2" customWidth="1"/>
    <col min="5" max="5" width="14" style="2" customWidth="1"/>
    <col min="6" max="6" width="18" style="2" customWidth="1"/>
    <col min="7" max="7" width="36" style="2" customWidth="1"/>
    <col min="8" max="16384" width="8.75" style="2"/>
  </cols>
  <sheetData>
    <row r="1" spans="1:7" ht="25.5" customHeight="1">
      <c r="A1" s="27" t="s">
        <v>176</v>
      </c>
      <c r="B1" s="27"/>
      <c r="C1" s="27"/>
      <c r="D1" s="27"/>
      <c r="E1" s="27"/>
      <c r="F1" s="27"/>
    </row>
    <row r="3" spans="1:7" ht="48" customHeight="1">
      <c r="A3" s="35" t="s">
        <v>177</v>
      </c>
      <c r="B3" s="35"/>
      <c r="C3" s="35"/>
      <c r="D3" s="35"/>
      <c r="E3" s="35"/>
      <c r="F3" s="35"/>
    </row>
    <row r="5" spans="1:7" ht="27" customHeight="1">
      <c r="A5" s="42" t="s">
        <v>178</v>
      </c>
      <c r="B5" s="42" t="s">
        <v>179</v>
      </c>
      <c r="C5" s="42" t="s">
        <v>180</v>
      </c>
      <c r="E5" s="42" t="s">
        <v>178</v>
      </c>
      <c r="F5" s="42" t="s">
        <v>181</v>
      </c>
      <c r="G5" s="42" t="s">
        <v>180</v>
      </c>
    </row>
    <row r="6" spans="1:7" ht="57.75" customHeight="1">
      <c r="A6" s="43">
        <v>1</v>
      </c>
      <c r="B6" s="43" t="s">
        <v>182</v>
      </c>
      <c r="C6" s="43" t="s">
        <v>183</v>
      </c>
      <c r="E6" s="43">
        <v>1</v>
      </c>
      <c r="F6" s="43" t="s">
        <v>184</v>
      </c>
      <c r="G6" s="43" t="s">
        <v>185</v>
      </c>
    </row>
    <row r="7" spans="1:7" ht="57.75" customHeight="1">
      <c r="A7" s="43">
        <v>2</v>
      </c>
      <c r="B7" s="43" t="s">
        <v>186</v>
      </c>
      <c r="C7" s="43" t="s">
        <v>187</v>
      </c>
      <c r="E7" s="43">
        <v>2</v>
      </c>
      <c r="F7" s="43" t="s">
        <v>173</v>
      </c>
      <c r="G7" s="43" t="s">
        <v>188</v>
      </c>
    </row>
    <row r="8" spans="1:7" ht="57.75" customHeight="1">
      <c r="A8" s="43">
        <v>3</v>
      </c>
      <c r="B8" s="43" t="s">
        <v>189</v>
      </c>
      <c r="C8" s="43" t="s">
        <v>190</v>
      </c>
      <c r="E8" s="43">
        <v>3</v>
      </c>
      <c r="F8" s="43" t="s">
        <v>171</v>
      </c>
      <c r="G8" s="43" t="s">
        <v>191</v>
      </c>
    </row>
    <row r="9" spans="1:7" ht="57.75" customHeight="1">
      <c r="A9" s="43">
        <v>4</v>
      </c>
      <c r="B9" s="43" t="s">
        <v>192</v>
      </c>
      <c r="C9" s="43" t="s">
        <v>193</v>
      </c>
      <c r="E9" s="43">
        <v>4</v>
      </c>
      <c r="F9" s="43" t="s">
        <v>169</v>
      </c>
      <c r="G9" s="43" t="s">
        <v>194</v>
      </c>
    </row>
    <row r="10" spans="1:7" ht="57.75" customHeight="1">
      <c r="A10" s="43">
        <v>5</v>
      </c>
      <c r="B10" s="43" t="s">
        <v>195</v>
      </c>
      <c r="C10" s="43" t="s">
        <v>196</v>
      </c>
      <c r="E10" s="43">
        <v>5</v>
      </c>
      <c r="F10" s="43" t="s">
        <v>197</v>
      </c>
      <c r="G10" s="43" t="s">
        <v>198</v>
      </c>
    </row>
    <row r="11" spans="1:7" ht="27" customHeight="1"/>
    <row r="12" spans="1:7" ht="27" customHeight="1">
      <c r="A12" s="42" t="s">
        <v>10</v>
      </c>
      <c r="B12" s="42" t="s">
        <v>165</v>
      </c>
      <c r="C12" s="44" t="s">
        <v>199</v>
      </c>
      <c r="D12" s="44"/>
      <c r="E12" s="44"/>
      <c r="F12" s="44"/>
    </row>
    <row r="13" spans="1:7" ht="43.5" customHeight="1">
      <c r="A13" s="43" t="s">
        <v>173</v>
      </c>
      <c r="B13" s="43" t="s">
        <v>174</v>
      </c>
      <c r="C13" s="45" t="str">
        <f>"Lo seguimos dentro de la revisión semanal y mantenemos controles básicos. Riesgos en este nivel hoy: "&amp;COUNTIF('Matriz de Riesgos'!$I$6:$I$20,"Bajo")&amp;"."</f>
        <v>Lo seguimos dentro de la revisión semanal y mantenemos controles básicos. Riesgos en este nivel hoy: 0.</v>
      </c>
      <c r="D13" s="45"/>
      <c r="E13" s="45"/>
      <c r="F13" s="45"/>
    </row>
    <row r="14" spans="1:7" ht="43.5" customHeight="1">
      <c r="A14" s="43" t="s">
        <v>171</v>
      </c>
      <c r="B14" s="43" t="s">
        <v>172</v>
      </c>
      <c r="C14" s="45" t="str">
        <f>"Definimos acciones preventivas y revisamos el riesgo durante la fase. Riesgos en este nivel hoy: "&amp;COUNTIF('Matriz de Riesgos'!$I$6:$I$20,"Medio")&amp;"."</f>
        <v>Definimos acciones preventivas y revisamos el riesgo durante la fase. Riesgos en este nivel hoy: 4.</v>
      </c>
      <c r="D14" s="45"/>
      <c r="E14" s="45"/>
      <c r="F14" s="45"/>
    </row>
    <row r="15" spans="1:7" ht="43.5" customHeight="1">
      <c r="A15" s="43" t="s">
        <v>169</v>
      </c>
      <c r="B15" s="43" t="s">
        <v>170</v>
      </c>
      <c r="C15" s="45" t="str">
        <f>"Priorizamos la mitigación, asignamos responsable y revisamos su estado con frecuencia. Riesgos en este nivel hoy: "&amp;COUNTIF('Matriz de Riesgos'!$I$6:$I$20,"Alto")&amp;"."</f>
        <v>Priorizamos la mitigación, asignamos responsable y revisamos su estado con frecuencia. Riesgos en este nivel hoy: 5.</v>
      </c>
      <c r="D15" s="45"/>
      <c r="E15" s="45"/>
      <c r="F15" s="45"/>
    </row>
    <row r="16" spans="1:7" ht="43.5" customHeight="1">
      <c r="A16" s="43" t="s">
        <v>167</v>
      </c>
      <c r="B16" s="43" t="s">
        <v>168</v>
      </c>
      <c r="C16" s="45" t="str">
        <f>"Damos atención inmediata; buscamos reducir el riesgo antes de continuar con el flujo afectado. Riesgos en este nivel hoy: "&amp;COUNTIF('Matriz de Riesgos'!$I$6:$I$20,"Crítico")&amp;"."</f>
        <v>Damos atención inmediata; buscamos reducir el riesgo antes de continuar con el flujo afectado. Riesgos en este nivel hoy: 6.</v>
      </c>
      <c r="D16" s="45"/>
      <c r="E16" s="45"/>
      <c r="F16" s="45"/>
    </row>
    <row r="17" spans="1:6" ht="43.5" customHeight="1">
      <c r="A17" s="43" t="s">
        <v>12</v>
      </c>
      <c r="B17" s="43" t="s">
        <v>200</v>
      </c>
      <c r="C17" s="45" t="s">
        <v>201</v>
      </c>
      <c r="D17" s="45"/>
      <c r="E17" s="45"/>
      <c r="F17" s="45"/>
    </row>
  </sheetData>
  <mergeCells count="8">
    <mergeCell ref="C15:F15"/>
    <mergeCell ref="C16:F16"/>
    <mergeCell ref="C17:F17"/>
    <mergeCell ref="A1:F1"/>
    <mergeCell ref="A3:F3"/>
    <mergeCell ref="C12:F12"/>
    <mergeCell ref="C13:F13"/>
    <mergeCell ref="C14:F1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de Riesgos</vt:lpstr>
      <vt:lpstr>Gráfico Matriz</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IGNACIO JAVIER FUENZALIDA CHANDIA</cp:lastModifiedBy>
  <cp:revision>2</cp:revision>
  <dcterms:created xsi:type="dcterms:W3CDTF">2026-10-04T19:51:19Z</dcterms:created>
  <dcterms:modified xsi:type="dcterms:W3CDTF">2026-10-04T20:03:09Z</dcterms:modified>
  <dc:language>en-US</dc:language>
</cp:coreProperties>
</file>